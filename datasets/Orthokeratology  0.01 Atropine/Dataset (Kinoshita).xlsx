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望\OneDrive\ドキュメント\近視抑制研究\論文（2年間の結果）\Scientific Reports (2-year results)\"/>
    </mc:Choice>
  </mc:AlternateContent>
  <bookViews>
    <workbookView xWindow="-15" yWindow="-15" windowWidth="24030" windowHeight="4920"/>
  </bookViews>
  <sheets>
    <sheet name="OK and 0.01% atropine" sheetId="1" r:id="rId1"/>
  </sheets>
  <calcPr calcId="152511"/>
</workbook>
</file>

<file path=xl/calcChain.xml><?xml version="1.0" encoding="utf-8"?>
<calcChain xmlns="http://schemas.openxmlformats.org/spreadsheetml/2006/main">
  <c r="BH154" i="1" l="1"/>
  <c r="BE154" i="1"/>
  <c r="BA154" i="1"/>
  <c r="AX154" i="1"/>
  <c r="AY153" i="1" s="1"/>
  <c r="AR154" i="1"/>
  <c r="AO154" i="1"/>
  <c r="AI154" i="1"/>
  <c r="AF154" i="1"/>
  <c r="Z154" i="1"/>
  <c r="X154" i="1"/>
  <c r="U154" i="1"/>
  <c r="R154" i="1"/>
  <c r="O154" i="1"/>
  <c r="L154" i="1"/>
  <c r="BH153" i="1"/>
  <c r="BI153" i="1" s="1"/>
  <c r="BF153" i="1"/>
  <c r="BE153" i="1"/>
  <c r="BA153" i="1"/>
  <c r="BB153" i="1" s="1"/>
  <c r="AX153" i="1"/>
  <c r="AR153" i="1"/>
  <c r="AS153" i="1" s="1"/>
  <c r="AP153" i="1"/>
  <c r="AO153" i="1"/>
  <c r="AL153" i="1"/>
  <c r="AJ153" i="1"/>
  <c r="AI153" i="1"/>
  <c r="AF153" i="1"/>
  <c r="AC153" i="1"/>
  <c r="Z153" i="1"/>
  <c r="AA153" i="1" s="1"/>
  <c r="X153" i="1"/>
  <c r="Y153" i="1" s="1"/>
  <c r="V153" i="1"/>
  <c r="U153" i="1"/>
  <c r="R153" i="1"/>
  <c r="P153" i="1"/>
  <c r="O153" i="1"/>
  <c r="L153" i="1"/>
  <c r="M153" i="1" s="1"/>
  <c r="J153" i="1"/>
  <c r="F153" i="1"/>
  <c r="BH152" i="1"/>
  <c r="BI151" i="1" s="1"/>
  <c r="BE152" i="1"/>
  <c r="BA152" i="1"/>
  <c r="AX152" i="1"/>
  <c r="AR152" i="1"/>
  <c r="AO152" i="1"/>
  <c r="AI152" i="1"/>
  <c r="AF152" i="1"/>
  <c r="Z152" i="1"/>
  <c r="X152" i="1"/>
  <c r="U152" i="1"/>
  <c r="R152" i="1"/>
  <c r="O152" i="1"/>
  <c r="L152" i="1"/>
  <c r="BH151" i="1"/>
  <c r="BE151" i="1"/>
  <c r="BF151" i="1" s="1"/>
  <c r="BB151" i="1"/>
  <c r="BA151" i="1"/>
  <c r="AX151" i="1"/>
  <c r="AY151" i="1" s="1"/>
  <c r="AR151" i="1"/>
  <c r="AS151" i="1" s="1"/>
  <c r="AO151" i="1"/>
  <c r="AP151" i="1" s="1"/>
  <c r="AL151" i="1"/>
  <c r="AI151" i="1"/>
  <c r="AJ151" i="1" s="1"/>
  <c r="AF151" i="1"/>
  <c r="AG151" i="1" s="1"/>
  <c r="AC151" i="1"/>
  <c r="Z151" i="1"/>
  <c r="X151" i="1"/>
  <c r="Y151" i="1" s="1"/>
  <c r="U151" i="1"/>
  <c r="V151" i="1" s="1"/>
  <c r="R151" i="1"/>
  <c r="S151" i="1" s="1"/>
  <c r="O151" i="1"/>
  <c r="P151" i="1" s="1"/>
  <c r="L151" i="1"/>
  <c r="M151" i="1" s="1"/>
  <c r="J151" i="1"/>
  <c r="F151" i="1"/>
  <c r="BH150" i="1"/>
  <c r="BE150" i="1"/>
  <c r="BA150" i="1"/>
  <c r="AX150" i="1"/>
  <c r="AR150" i="1"/>
  <c r="AO150" i="1"/>
  <c r="AI150" i="1"/>
  <c r="AF150" i="1"/>
  <c r="Z150" i="1"/>
  <c r="X150" i="1"/>
  <c r="U150" i="1"/>
  <c r="V149" i="1" s="1"/>
  <c r="R150" i="1"/>
  <c r="O150" i="1"/>
  <c r="L150" i="1"/>
  <c r="BH149" i="1"/>
  <c r="BE149" i="1"/>
  <c r="BF149" i="1" s="1"/>
  <c r="BA149" i="1"/>
  <c r="AX149" i="1"/>
  <c r="AR149" i="1"/>
  <c r="AS149" i="1" s="1"/>
  <c r="AO149" i="1"/>
  <c r="AP149" i="1" s="1"/>
  <c r="AL149" i="1"/>
  <c r="AI149" i="1"/>
  <c r="AJ149" i="1" s="1"/>
  <c r="AF149" i="1"/>
  <c r="AC149" i="1"/>
  <c r="AA149" i="1"/>
  <c r="Z149" i="1"/>
  <c r="X149" i="1"/>
  <c r="Y149" i="1" s="1"/>
  <c r="U149" i="1"/>
  <c r="R149" i="1"/>
  <c r="P149" i="1"/>
  <c r="O149" i="1"/>
  <c r="L149" i="1"/>
  <c r="M149" i="1" s="1"/>
  <c r="J149" i="1"/>
  <c r="F149" i="1"/>
  <c r="BH148" i="1"/>
  <c r="BE148" i="1"/>
  <c r="BA148" i="1"/>
  <c r="BB147" i="1" s="1"/>
  <c r="AX148" i="1"/>
  <c r="AR148" i="1"/>
  <c r="AO148" i="1"/>
  <c r="AI148" i="1"/>
  <c r="AF148" i="1"/>
  <c r="Z148" i="1"/>
  <c r="X148" i="1"/>
  <c r="U148" i="1"/>
  <c r="R148" i="1"/>
  <c r="O148" i="1"/>
  <c r="L148" i="1"/>
  <c r="M147" i="1" s="1"/>
  <c r="BI147" i="1"/>
  <c r="BH147" i="1"/>
  <c r="BE147" i="1"/>
  <c r="BF147" i="1" s="1"/>
  <c r="BA147" i="1"/>
  <c r="AX147" i="1"/>
  <c r="AY147" i="1" s="1"/>
  <c r="AS147" i="1"/>
  <c r="AR147" i="1"/>
  <c r="AO147" i="1"/>
  <c r="AP147" i="1" s="1"/>
  <c r="AL147" i="1"/>
  <c r="AI147" i="1"/>
  <c r="AF147" i="1"/>
  <c r="AG147" i="1" s="1"/>
  <c r="AC147" i="1"/>
  <c r="Z147" i="1"/>
  <c r="AA147" i="1" s="1"/>
  <c r="Y147" i="1"/>
  <c r="X147" i="1"/>
  <c r="U147" i="1"/>
  <c r="S147" i="1"/>
  <c r="R147" i="1"/>
  <c r="O147" i="1"/>
  <c r="P147" i="1" s="1"/>
  <c r="L147" i="1"/>
  <c r="J147" i="1"/>
  <c r="F147" i="1"/>
  <c r="BH146" i="1"/>
  <c r="BE146" i="1"/>
  <c r="BA146" i="1"/>
  <c r="AX146" i="1"/>
  <c r="AR146" i="1"/>
  <c r="AO146" i="1"/>
  <c r="AI146" i="1"/>
  <c r="AF146" i="1"/>
  <c r="Z146" i="1"/>
  <c r="X146" i="1"/>
  <c r="U146" i="1"/>
  <c r="R146" i="1"/>
  <c r="O146" i="1"/>
  <c r="L146" i="1"/>
  <c r="BH145" i="1"/>
  <c r="BI145" i="1" s="1"/>
  <c r="BF145" i="1"/>
  <c r="BE145" i="1"/>
  <c r="BA145" i="1"/>
  <c r="BB145" i="1" s="1"/>
  <c r="AX145" i="1"/>
  <c r="AR145" i="1"/>
  <c r="AS145" i="1" s="1"/>
  <c r="AP145" i="1"/>
  <c r="AO145" i="1"/>
  <c r="AL145" i="1"/>
  <c r="AI145" i="1"/>
  <c r="AJ145" i="1" s="1"/>
  <c r="AF145" i="1"/>
  <c r="AC145" i="1"/>
  <c r="Z145" i="1"/>
  <c r="AA145" i="1" s="1"/>
  <c r="X145" i="1"/>
  <c r="Y145" i="1" s="1"/>
  <c r="U145" i="1"/>
  <c r="V145" i="1" s="1"/>
  <c r="R145" i="1"/>
  <c r="O145" i="1"/>
  <c r="P145" i="1" s="1"/>
  <c r="L145" i="1"/>
  <c r="M145" i="1" s="1"/>
  <c r="J145" i="1"/>
  <c r="F145" i="1"/>
  <c r="BH144" i="1"/>
  <c r="BE144" i="1"/>
  <c r="BA144" i="1"/>
  <c r="BB143" i="1" s="1"/>
  <c r="AX144" i="1"/>
  <c r="AR144" i="1"/>
  <c r="AO144" i="1"/>
  <c r="AI144" i="1"/>
  <c r="AF144" i="1"/>
  <c r="Z144" i="1"/>
  <c r="X144" i="1"/>
  <c r="U144" i="1"/>
  <c r="R144" i="1"/>
  <c r="O144" i="1"/>
  <c r="L144" i="1"/>
  <c r="BH143" i="1"/>
  <c r="BI143" i="1" s="1"/>
  <c r="BE143" i="1"/>
  <c r="BA143" i="1"/>
  <c r="AX143" i="1"/>
  <c r="AY143" i="1" s="1"/>
  <c r="AR143" i="1"/>
  <c r="AS143" i="1" s="1"/>
  <c r="AO143" i="1"/>
  <c r="AP143" i="1" s="1"/>
  <c r="AL143" i="1"/>
  <c r="AI143" i="1"/>
  <c r="AJ143" i="1" s="1"/>
  <c r="AF143" i="1"/>
  <c r="AC143" i="1"/>
  <c r="Z143" i="1"/>
  <c r="AA143" i="1" s="1"/>
  <c r="X143" i="1"/>
  <c r="Y143" i="1" s="1"/>
  <c r="U143" i="1"/>
  <c r="R143" i="1"/>
  <c r="S143" i="1" s="1"/>
  <c r="O143" i="1"/>
  <c r="L143" i="1"/>
  <c r="M143" i="1" s="1"/>
  <c r="J143" i="1"/>
  <c r="F143" i="1"/>
  <c r="BH142" i="1"/>
  <c r="BE142" i="1"/>
  <c r="BA142" i="1"/>
  <c r="AX142" i="1"/>
  <c r="AR142" i="1"/>
  <c r="AO142" i="1"/>
  <c r="AP141" i="1" s="1"/>
  <c r="AI142" i="1"/>
  <c r="AF142" i="1"/>
  <c r="Z142" i="1"/>
  <c r="X142" i="1"/>
  <c r="U142" i="1"/>
  <c r="R142" i="1"/>
  <c r="O142" i="1"/>
  <c r="L142" i="1"/>
  <c r="BH141" i="1"/>
  <c r="BE141" i="1"/>
  <c r="BA141" i="1"/>
  <c r="BB141" i="1" s="1"/>
  <c r="AX141" i="1"/>
  <c r="AR141" i="1"/>
  <c r="AS141" i="1" s="1"/>
  <c r="AO141" i="1"/>
  <c r="AL141" i="1"/>
  <c r="AI141" i="1"/>
  <c r="AG141" i="1"/>
  <c r="AF141" i="1"/>
  <c r="AC141" i="1"/>
  <c r="Z141" i="1"/>
  <c r="X141" i="1"/>
  <c r="U141" i="1"/>
  <c r="V141" i="1" s="1"/>
  <c r="R141" i="1"/>
  <c r="O141" i="1"/>
  <c r="P141" i="1" s="1"/>
  <c r="L141" i="1"/>
  <c r="J141" i="1"/>
  <c r="F141" i="1"/>
  <c r="BH140" i="1"/>
  <c r="BE140" i="1"/>
  <c r="BA140" i="1"/>
  <c r="AX140" i="1"/>
  <c r="AR140" i="1"/>
  <c r="AO140" i="1"/>
  <c r="AI140" i="1"/>
  <c r="AF140" i="1"/>
  <c r="Z140" i="1"/>
  <c r="X140" i="1"/>
  <c r="U140" i="1"/>
  <c r="R140" i="1"/>
  <c r="O140" i="1"/>
  <c r="L140" i="1"/>
  <c r="BH139" i="1"/>
  <c r="BF139" i="1"/>
  <c r="BE139" i="1"/>
  <c r="BA139" i="1"/>
  <c r="AY139" i="1"/>
  <c r="AX139" i="1"/>
  <c r="AR139" i="1"/>
  <c r="AS139" i="1" s="1"/>
  <c r="AP139" i="1"/>
  <c r="AO139" i="1"/>
  <c r="AL139" i="1"/>
  <c r="AI139" i="1"/>
  <c r="AJ139" i="1" s="1"/>
  <c r="AF139" i="1"/>
  <c r="AC139" i="1"/>
  <c r="Z139" i="1"/>
  <c r="AA139" i="1" s="1"/>
  <c r="X139" i="1"/>
  <c r="Y139" i="1" s="1"/>
  <c r="U139" i="1"/>
  <c r="V139" i="1" s="1"/>
  <c r="R139" i="1"/>
  <c r="S139" i="1" s="1"/>
  <c r="O139" i="1"/>
  <c r="P139" i="1" s="1"/>
  <c r="L139" i="1"/>
  <c r="J139" i="1"/>
  <c r="F139" i="1"/>
  <c r="BH138" i="1"/>
  <c r="BE138" i="1"/>
  <c r="BA138" i="1"/>
  <c r="AX138" i="1"/>
  <c r="AR138" i="1"/>
  <c r="AO138" i="1"/>
  <c r="AI138" i="1"/>
  <c r="AF138" i="1"/>
  <c r="Z138" i="1"/>
  <c r="X138" i="1"/>
  <c r="Y137" i="1" s="1"/>
  <c r="U138" i="1"/>
  <c r="R138" i="1"/>
  <c r="O138" i="1"/>
  <c r="L138" i="1"/>
  <c r="BH137" i="1"/>
  <c r="BI137" i="1" s="1"/>
  <c r="BE137" i="1"/>
  <c r="BB137" i="1"/>
  <c r="BA137" i="1"/>
  <c r="AX137" i="1"/>
  <c r="AY137" i="1" s="1"/>
  <c r="AS137" i="1"/>
  <c r="AR137" i="1"/>
  <c r="AO137" i="1"/>
  <c r="AP137" i="1" s="1"/>
  <c r="AL137" i="1"/>
  <c r="AI137" i="1"/>
  <c r="AF137" i="1"/>
  <c r="AC137" i="1"/>
  <c r="Z137" i="1"/>
  <c r="AA137" i="1" s="1"/>
  <c r="X137" i="1"/>
  <c r="U137" i="1"/>
  <c r="V137" i="1" s="1"/>
  <c r="S137" i="1"/>
  <c r="R137" i="1"/>
  <c r="O137" i="1"/>
  <c r="P137" i="1" s="1"/>
  <c r="L137" i="1"/>
  <c r="M137" i="1" s="1"/>
  <c r="J137" i="1"/>
  <c r="F137" i="1"/>
  <c r="BH136" i="1"/>
  <c r="BE136" i="1"/>
  <c r="BA136" i="1"/>
  <c r="AX136" i="1"/>
  <c r="AY135" i="1" s="1"/>
  <c r="AR136" i="1"/>
  <c r="AO136" i="1"/>
  <c r="AI136" i="1"/>
  <c r="AF136" i="1"/>
  <c r="Z136" i="1"/>
  <c r="X136" i="1"/>
  <c r="U136" i="1"/>
  <c r="R136" i="1"/>
  <c r="O136" i="1"/>
  <c r="L136" i="1"/>
  <c r="BH135" i="1"/>
  <c r="BE135" i="1"/>
  <c r="BF135" i="1" s="1"/>
  <c r="BA135" i="1"/>
  <c r="BB135" i="1" s="1"/>
  <c r="AX135" i="1"/>
  <c r="AR135" i="1"/>
  <c r="AS135" i="1" s="1"/>
  <c r="AP135" i="1"/>
  <c r="AO135" i="1"/>
  <c r="AL135" i="1"/>
  <c r="AI135" i="1"/>
  <c r="AJ135" i="1" s="1"/>
  <c r="AF135" i="1"/>
  <c r="AC135" i="1"/>
  <c r="AA135" i="1"/>
  <c r="Z135" i="1"/>
  <c r="X135" i="1"/>
  <c r="V135" i="1"/>
  <c r="U135" i="1"/>
  <c r="R135" i="1"/>
  <c r="O135" i="1"/>
  <c r="L135" i="1"/>
  <c r="J135" i="1"/>
  <c r="F135" i="1"/>
  <c r="BH134" i="1"/>
  <c r="BE134" i="1"/>
  <c r="BA134" i="1"/>
  <c r="AX134" i="1"/>
  <c r="AR134" i="1"/>
  <c r="AO134" i="1"/>
  <c r="AI134" i="1"/>
  <c r="AF134" i="1"/>
  <c r="Z134" i="1"/>
  <c r="X134" i="1"/>
  <c r="U134" i="1"/>
  <c r="R134" i="1"/>
  <c r="O134" i="1"/>
  <c r="L134" i="1"/>
  <c r="BI133" i="1"/>
  <c r="BH133" i="1"/>
  <c r="BE133" i="1"/>
  <c r="BB133" i="1"/>
  <c r="BA133" i="1"/>
  <c r="AX133" i="1"/>
  <c r="AY133" i="1" s="1"/>
  <c r="AS133" i="1"/>
  <c r="AR133" i="1"/>
  <c r="AO133" i="1"/>
  <c r="AL133" i="1"/>
  <c r="AI133" i="1"/>
  <c r="AG133" i="1"/>
  <c r="AF133" i="1"/>
  <c r="AC133" i="1"/>
  <c r="Z133" i="1"/>
  <c r="AA133" i="1" s="1"/>
  <c r="X133" i="1"/>
  <c r="Y133" i="1" s="1"/>
  <c r="U133" i="1"/>
  <c r="V133" i="1" s="1"/>
  <c r="R133" i="1"/>
  <c r="S133" i="1" s="1"/>
  <c r="O133" i="1"/>
  <c r="L133" i="1"/>
  <c r="J133" i="1"/>
  <c r="F133" i="1"/>
  <c r="BH132" i="1"/>
  <c r="BE132" i="1"/>
  <c r="BA132" i="1"/>
  <c r="AX132" i="1"/>
  <c r="AR132" i="1"/>
  <c r="AO132" i="1"/>
  <c r="AI132" i="1"/>
  <c r="AJ131" i="1" s="1"/>
  <c r="AF132" i="1"/>
  <c r="Z132" i="1"/>
  <c r="X132" i="1"/>
  <c r="U132" i="1"/>
  <c r="R132" i="1"/>
  <c r="O132" i="1"/>
  <c r="L132" i="1"/>
  <c r="BH131" i="1"/>
  <c r="BI131" i="1" s="1"/>
  <c r="BE131" i="1"/>
  <c r="BF131" i="1" s="1"/>
  <c r="BA131" i="1"/>
  <c r="BB131" i="1" s="1"/>
  <c r="AX131" i="1"/>
  <c r="AY131" i="1" s="1"/>
  <c r="AR131" i="1"/>
  <c r="AS131" i="1" s="1"/>
  <c r="AO131" i="1"/>
  <c r="AP131" i="1" s="1"/>
  <c r="AL131" i="1"/>
  <c r="AI131" i="1"/>
  <c r="AF131" i="1"/>
  <c r="AG131" i="1" s="1"/>
  <c r="AC131" i="1"/>
  <c r="Z131" i="1"/>
  <c r="AA131" i="1" s="1"/>
  <c r="X131" i="1"/>
  <c r="Y131" i="1" s="1"/>
  <c r="U131" i="1"/>
  <c r="V131" i="1" s="1"/>
  <c r="R131" i="1"/>
  <c r="S131" i="1" s="1"/>
  <c r="P131" i="1"/>
  <c r="O131" i="1"/>
  <c r="L131" i="1"/>
  <c r="J131" i="1"/>
  <c r="F131" i="1"/>
  <c r="BH130" i="1"/>
  <c r="BE130" i="1"/>
  <c r="BA130" i="1"/>
  <c r="AX130" i="1"/>
  <c r="AR130" i="1"/>
  <c r="AO130" i="1"/>
  <c r="AI130" i="1"/>
  <c r="AJ129" i="1" s="1"/>
  <c r="AF130" i="1"/>
  <c r="Z130" i="1"/>
  <c r="X130" i="1"/>
  <c r="Y129" i="1" s="1"/>
  <c r="U130" i="1"/>
  <c r="R130" i="1"/>
  <c r="O130" i="1"/>
  <c r="L130" i="1"/>
  <c r="BH129" i="1"/>
  <c r="BI129" i="1" s="1"/>
  <c r="BE129" i="1"/>
  <c r="BB129" i="1"/>
  <c r="BA129" i="1"/>
  <c r="AX129" i="1"/>
  <c r="AY129" i="1" s="1"/>
  <c r="AS129" i="1"/>
  <c r="AR129" i="1"/>
  <c r="AO129" i="1"/>
  <c r="AP129" i="1" s="1"/>
  <c r="AL129" i="1"/>
  <c r="AI129" i="1"/>
  <c r="AF129" i="1"/>
  <c r="AC129" i="1"/>
  <c r="Z129" i="1"/>
  <c r="AA129" i="1" s="1"/>
  <c r="X129" i="1"/>
  <c r="U129" i="1"/>
  <c r="V129" i="1" s="1"/>
  <c r="S129" i="1"/>
  <c r="R129" i="1"/>
  <c r="O129" i="1"/>
  <c r="P129" i="1" s="1"/>
  <c r="L129" i="1"/>
  <c r="M129" i="1" s="1"/>
  <c r="J129" i="1"/>
  <c r="F129" i="1"/>
  <c r="BH128" i="1"/>
  <c r="BE128" i="1"/>
  <c r="BA128" i="1"/>
  <c r="AX128" i="1"/>
  <c r="AY127" i="1" s="1"/>
  <c r="AR128" i="1"/>
  <c r="AO128" i="1"/>
  <c r="AI128" i="1"/>
  <c r="AF128" i="1"/>
  <c r="Z128" i="1"/>
  <c r="X128" i="1"/>
  <c r="U128" i="1"/>
  <c r="R128" i="1"/>
  <c r="O128" i="1"/>
  <c r="L128" i="1"/>
  <c r="BH127" i="1"/>
  <c r="BE127" i="1"/>
  <c r="BF127" i="1" s="1"/>
  <c r="BA127" i="1"/>
  <c r="BB127" i="1" s="1"/>
  <c r="AX127" i="1"/>
  <c r="AR127" i="1"/>
  <c r="AS127" i="1" s="1"/>
  <c r="AP127" i="1"/>
  <c r="AO127" i="1"/>
  <c r="AL127" i="1"/>
  <c r="AI127" i="1"/>
  <c r="AJ127" i="1" s="1"/>
  <c r="AF127" i="1"/>
  <c r="AC127" i="1"/>
  <c r="AA127" i="1"/>
  <c r="Z127" i="1"/>
  <c r="X127" i="1"/>
  <c r="V127" i="1"/>
  <c r="U127" i="1"/>
  <c r="R127" i="1"/>
  <c r="O127" i="1"/>
  <c r="L127" i="1"/>
  <c r="J127" i="1"/>
  <c r="F127" i="1"/>
  <c r="BH126" i="1"/>
  <c r="BE126" i="1"/>
  <c r="BA126" i="1"/>
  <c r="AX126" i="1"/>
  <c r="AR126" i="1"/>
  <c r="AS125" i="1" s="1"/>
  <c r="AO126" i="1"/>
  <c r="AI126" i="1"/>
  <c r="AF126" i="1"/>
  <c r="Z126" i="1"/>
  <c r="X126" i="1"/>
  <c r="U126" i="1"/>
  <c r="R126" i="1"/>
  <c r="S125" i="1" s="1"/>
  <c r="O126" i="1"/>
  <c r="L126" i="1"/>
  <c r="BI125" i="1"/>
  <c r="BH125" i="1"/>
  <c r="BE125" i="1"/>
  <c r="BB125" i="1"/>
  <c r="BA125" i="1"/>
  <c r="AX125" i="1"/>
  <c r="AY125" i="1" s="1"/>
  <c r="AR125" i="1"/>
  <c r="AO125" i="1"/>
  <c r="AL125" i="1"/>
  <c r="AI125" i="1"/>
  <c r="AG125" i="1"/>
  <c r="AF125" i="1"/>
  <c r="AC125" i="1"/>
  <c r="Z125" i="1"/>
  <c r="AA125" i="1" s="1"/>
  <c r="X125" i="1"/>
  <c r="Y125" i="1" s="1"/>
  <c r="U125" i="1"/>
  <c r="V125" i="1" s="1"/>
  <c r="R125" i="1"/>
  <c r="O125" i="1"/>
  <c r="L125" i="1"/>
  <c r="J125" i="1"/>
  <c r="F125" i="1"/>
  <c r="BH124" i="1"/>
  <c r="BE124" i="1"/>
  <c r="BA124" i="1"/>
  <c r="AX124" i="1"/>
  <c r="AR124" i="1"/>
  <c r="AO124" i="1"/>
  <c r="AI124" i="1"/>
  <c r="AF124" i="1"/>
  <c r="Z124" i="1"/>
  <c r="X124" i="1"/>
  <c r="U124" i="1"/>
  <c r="R124" i="1"/>
  <c r="O124" i="1"/>
  <c r="L124" i="1"/>
  <c r="BH123" i="1"/>
  <c r="BI123" i="1" s="1"/>
  <c r="BE123" i="1"/>
  <c r="BF123" i="1" s="1"/>
  <c r="BA123" i="1"/>
  <c r="BB123" i="1" s="1"/>
  <c r="AX123" i="1"/>
  <c r="AY123" i="1" s="1"/>
  <c r="AR123" i="1"/>
  <c r="AS123" i="1" s="1"/>
  <c r="AO123" i="1"/>
  <c r="AL123" i="1"/>
  <c r="AJ123" i="1"/>
  <c r="AI123" i="1"/>
  <c r="AF123" i="1"/>
  <c r="AG123" i="1" s="1"/>
  <c r="AC123" i="1"/>
  <c r="Z123" i="1"/>
  <c r="X123" i="1"/>
  <c r="Y123" i="1" s="1"/>
  <c r="U123" i="1"/>
  <c r="R123" i="1"/>
  <c r="S123" i="1" s="1"/>
  <c r="O123" i="1"/>
  <c r="P123" i="1" s="1"/>
  <c r="L123" i="1"/>
  <c r="J123" i="1"/>
  <c r="F123" i="1"/>
  <c r="BH122" i="1"/>
  <c r="BE122" i="1"/>
  <c r="BA122" i="1"/>
  <c r="AX122" i="1"/>
  <c r="AR122" i="1"/>
  <c r="AO122" i="1"/>
  <c r="AI122" i="1"/>
  <c r="AF122" i="1"/>
  <c r="Z122" i="1"/>
  <c r="X122" i="1"/>
  <c r="U122" i="1"/>
  <c r="R122" i="1"/>
  <c r="O122" i="1"/>
  <c r="L122" i="1"/>
  <c r="BH121" i="1"/>
  <c r="BI121" i="1" s="1"/>
  <c r="BE121" i="1"/>
  <c r="BF121" i="1" s="1"/>
  <c r="BA121" i="1"/>
  <c r="BB121" i="1" s="1"/>
  <c r="AX121" i="1"/>
  <c r="AR121" i="1"/>
  <c r="AO121" i="1"/>
  <c r="AP121" i="1" s="1"/>
  <c r="AL121" i="1"/>
  <c r="AI121" i="1"/>
  <c r="AG121" i="1"/>
  <c r="AF121" i="1"/>
  <c r="AC121" i="1"/>
  <c r="Z121" i="1"/>
  <c r="AA121" i="1" s="1"/>
  <c r="X121" i="1"/>
  <c r="U121" i="1"/>
  <c r="V121" i="1" s="1"/>
  <c r="R121" i="1"/>
  <c r="S121" i="1" s="1"/>
  <c r="O121" i="1"/>
  <c r="L121" i="1"/>
  <c r="M121" i="1" s="1"/>
  <c r="J121" i="1"/>
  <c r="F121" i="1"/>
  <c r="BH120" i="1"/>
  <c r="BE120" i="1"/>
  <c r="BA120" i="1"/>
  <c r="AX120" i="1"/>
  <c r="AR120" i="1"/>
  <c r="AO120" i="1"/>
  <c r="AI120" i="1"/>
  <c r="AF120" i="1"/>
  <c r="Z120" i="1"/>
  <c r="X120" i="1"/>
  <c r="U120" i="1"/>
  <c r="R120" i="1"/>
  <c r="O120" i="1"/>
  <c r="L120" i="1"/>
  <c r="BH119" i="1"/>
  <c r="BE119" i="1"/>
  <c r="BF119" i="1" s="1"/>
  <c r="BA119" i="1"/>
  <c r="BB119" i="1" s="1"/>
  <c r="AX119" i="1"/>
  <c r="AR119" i="1"/>
  <c r="AS119" i="1" s="1"/>
  <c r="AO119" i="1"/>
  <c r="AP119" i="1" s="1"/>
  <c r="AL119" i="1"/>
  <c r="AJ119" i="1"/>
  <c r="AI119" i="1"/>
  <c r="AF119" i="1"/>
  <c r="AG119" i="1" s="1"/>
  <c r="AC119" i="1"/>
  <c r="Z119" i="1"/>
  <c r="X119" i="1"/>
  <c r="Y119" i="1" s="1"/>
  <c r="U119" i="1"/>
  <c r="V119" i="1" s="1"/>
  <c r="R119" i="1"/>
  <c r="O119" i="1"/>
  <c r="P119" i="1" s="1"/>
  <c r="L119" i="1"/>
  <c r="J119" i="1"/>
  <c r="F119" i="1"/>
  <c r="BH118" i="1"/>
  <c r="BE118" i="1"/>
  <c r="BA118" i="1"/>
  <c r="AX118" i="1"/>
  <c r="AR118" i="1"/>
  <c r="AO118" i="1"/>
  <c r="AI118" i="1"/>
  <c r="AF118" i="1"/>
  <c r="Z118" i="1"/>
  <c r="X118" i="1"/>
  <c r="U118" i="1"/>
  <c r="R118" i="1"/>
  <c r="O118" i="1"/>
  <c r="L118" i="1"/>
  <c r="BH117" i="1"/>
  <c r="BI117" i="1" s="1"/>
  <c r="BE117" i="1"/>
  <c r="BA117" i="1"/>
  <c r="AX117" i="1"/>
  <c r="AY117" i="1" s="1"/>
  <c r="AR117" i="1"/>
  <c r="AS117" i="1" s="1"/>
  <c r="AO117" i="1"/>
  <c r="AL117" i="1"/>
  <c r="AI117" i="1"/>
  <c r="AJ117" i="1" s="1"/>
  <c r="AF117" i="1"/>
  <c r="AG117" i="1" s="1"/>
  <c r="AC117" i="1"/>
  <c r="Z117" i="1"/>
  <c r="AA117" i="1" s="1"/>
  <c r="X117" i="1"/>
  <c r="Y117" i="1" s="1"/>
  <c r="U117" i="1"/>
  <c r="R117" i="1"/>
  <c r="S117" i="1" s="1"/>
  <c r="O117" i="1"/>
  <c r="L117" i="1"/>
  <c r="M117" i="1" s="1"/>
  <c r="J117" i="1"/>
  <c r="F117" i="1"/>
  <c r="BH116" i="1"/>
  <c r="BE116" i="1"/>
  <c r="BA116" i="1"/>
  <c r="AX116" i="1"/>
  <c r="AR116" i="1"/>
  <c r="AO116" i="1"/>
  <c r="AI116" i="1"/>
  <c r="AF116" i="1"/>
  <c r="Z116" i="1"/>
  <c r="X116" i="1"/>
  <c r="U116" i="1"/>
  <c r="R116" i="1"/>
  <c r="O116" i="1"/>
  <c r="L116" i="1"/>
  <c r="BH115" i="1"/>
  <c r="BI115" i="1" s="1"/>
  <c r="BE115" i="1"/>
  <c r="BA115" i="1"/>
  <c r="BB115" i="1" s="1"/>
  <c r="AX115" i="1"/>
  <c r="AR115" i="1"/>
  <c r="AO115" i="1"/>
  <c r="AP115" i="1" s="1"/>
  <c r="AL115" i="1"/>
  <c r="AI115" i="1"/>
  <c r="AJ115" i="1" s="1"/>
  <c r="AF115" i="1"/>
  <c r="AG115" i="1" s="1"/>
  <c r="AC115" i="1"/>
  <c r="Z115" i="1"/>
  <c r="AA115" i="1" s="1"/>
  <c r="X115" i="1"/>
  <c r="U115" i="1"/>
  <c r="V115" i="1" s="1"/>
  <c r="R115" i="1"/>
  <c r="O115" i="1"/>
  <c r="P115" i="1" s="1"/>
  <c r="L115" i="1"/>
  <c r="M115" i="1" s="1"/>
  <c r="J115" i="1"/>
  <c r="F115" i="1"/>
  <c r="BH114" i="1"/>
  <c r="BE114" i="1"/>
  <c r="BA114" i="1"/>
  <c r="AX114" i="1"/>
  <c r="AR114" i="1"/>
  <c r="AO114" i="1"/>
  <c r="AI114" i="1"/>
  <c r="AF114" i="1"/>
  <c r="Z114" i="1"/>
  <c r="X114" i="1"/>
  <c r="U114" i="1"/>
  <c r="R114" i="1"/>
  <c r="O114" i="1"/>
  <c r="L114" i="1"/>
  <c r="BH113" i="1"/>
  <c r="BE113" i="1"/>
  <c r="BF113" i="1" s="1"/>
  <c r="BA113" i="1"/>
  <c r="BB113" i="1" s="1"/>
  <c r="AX113" i="1"/>
  <c r="AR113" i="1"/>
  <c r="AS113" i="1" s="1"/>
  <c r="AO113" i="1"/>
  <c r="AL113" i="1"/>
  <c r="AI113" i="1"/>
  <c r="AJ113" i="1" s="1"/>
  <c r="AF113" i="1"/>
  <c r="AG113" i="1" s="1"/>
  <c r="AC113" i="1"/>
  <c r="Z113" i="1"/>
  <c r="X113" i="1"/>
  <c r="Y113" i="1" s="1"/>
  <c r="U113" i="1"/>
  <c r="R113" i="1"/>
  <c r="S113" i="1" s="1"/>
  <c r="O113" i="1"/>
  <c r="P113" i="1" s="1"/>
  <c r="L113" i="1"/>
  <c r="J113" i="1"/>
  <c r="F113" i="1"/>
  <c r="BH112" i="1"/>
  <c r="BE112" i="1"/>
  <c r="BA112" i="1"/>
  <c r="AX112" i="1"/>
  <c r="AR112" i="1"/>
  <c r="AO112" i="1"/>
  <c r="AI112" i="1"/>
  <c r="AF112" i="1"/>
  <c r="Z112" i="1"/>
  <c r="X112" i="1"/>
  <c r="U112" i="1"/>
  <c r="R112" i="1"/>
  <c r="O112" i="1"/>
  <c r="L112" i="1"/>
  <c r="BH111" i="1"/>
  <c r="BI111" i="1" s="1"/>
  <c r="BE111" i="1"/>
  <c r="BF111" i="1" s="1"/>
  <c r="BA111" i="1"/>
  <c r="AX111" i="1"/>
  <c r="AY111" i="1" s="1"/>
  <c r="AR111" i="1"/>
  <c r="AO111" i="1"/>
  <c r="AP111" i="1" s="1"/>
  <c r="AL111" i="1"/>
  <c r="AI111" i="1"/>
  <c r="AJ111" i="1" s="1"/>
  <c r="AF111" i="1"/>
  <c r="AG111" i="1" s="1"/>
  <c r="AC111" i="1"/>
  <c r="Z111" i="1"/>
  <c r="AA111" i="1" s="1"/>
  <c r="X111" i="1"/>
  <c r="U111" i="1"/>
  <c r="V111" i="1" s="1"/>
  <c r="R111" i="1"/>
  <c r="O111" i="1"/>
  <c r="L111" i="1"/>
  <c r="M111" i="1" s="1"/>
  <c r="J111" i="1"/>
  <c r="F111" i="1"/>
  <c r="BH110" i="1"/>
  <c r="BE110" i="1"/>
  <c r="BA110" i="1"/>
  <c r="AX110" i="1"/>
  <c r="AY109" i="1" s="1"/>
  <c r="AR110" i="1"/>
  <c r="AO110" i="1"/>
  <c r="AI110" i="1"/>
  <c r="AF110" i="1"/>
  <c r="Z110" i="1"/>
  <c r="X110" i="1"/>
  <c r="U110" i="1"/>
  <c r="R110" i="1"/>
  <c r="O110" i="1"/>
  <c r="L110" i="1"/>
  <c r="BH109" i="1"/>
  <c r="BI109" i="1" s="1"/>
  <c r="BE109" i="1"/>
  <c r="BA109" i="1"/>
  <c r="BB109" i="1" s="1"/>
  <c r="AX109" i="1"/>
  <c r="AR109" i="1"/>
  <c r="AS109" i="1" s="1"/>
  <c r="AO109" i="1"/>
  <c r="AP109" i="1" s="1"/>
  <c r="AL109" i="1"/>
  <c r="AI109" i="1"/>
  <c r="AJ109" i="1" s="1"/>
  <c r="AG109" i="1"/>
  <c r="AF109" i="1"/>
  <c r="AC109" i="1"/>
  <c r="Z109" i="1"/>
  <c r="AA109" i="1" s="1"/>
  <c r="X109" i="1"/>
  <c r="U109" i="1"/>
  <c r="V109" i="1" s="1"/>
  <c r="R109" i="1"/>
  <c r="S109" i="1" s="1"/>
  <c r="O109" i="1"/>
  <c r="P109" i="1" s="1"/>
  <c r="L109" i="1"/>
  <c r="M109" i="1" s="1"/>
  <c r="J109" i="1"/>
  <c r="F109" i="1"/>
  <c r="BH108" i="1"/>
  <c r="BE108" i="1"/>
  <c r="BA108" i="1"/>
  <c r="AX108" i="1"/>
  <c r="AR108" i="1"/>
  <c r="AO108" i="1"/>
  <c r="AI108" i="1"/>
  <c r="AF108" i="1"/>
  <c r="Z108" i="1"/>
  <c r="X108" i="1"/>
  <c r="U108" i="1"/>
  <c r="R108" i="1"/>
  <c r="O108" i="1"/>
  <c r="L108" i="1"/>
  <c r="M107" i="1" s="1"/>
  <c r="BH107" i="1"/>
  <c r="BI107" i="1" s="1"/>
  <c r="BE107" i="1"/>
  <c r="BF107" i="1" s="1"/>
  <c r="BA107" i="1"/>
  <c r="BB107" i="1" s="1"/>
  <c r="AX107" i="1"/>
  <c r="AY107" i="1" s="1"/>
  <c r="AR107" i="1"/>
  <c r="AS107" i="1" s="1"/>
  <c r="AO107" i="1"/>
  <c r="AL107" i="1"/>
  <c r="AJ107" i="1"/>
  <c r="AI107" i="1"/>
  <c r="AG107" i="1"/>
  <c r="AF107" i="1"/>
  <c r="AC107" i="1"/>
  <c r="Z107" i="1"/>
  <c r="X107" i="1"/>
  <c r="U107" i="1"/>
  <c r="S107" i="1"/>
  <c r="R107" i="1"/>
  <c r="O107" i="1"/>
  <c r="P107" i="1" s="1"/>
  <c r="L107" i="1"/>
  <c r="J107" i="1"/>
  <c r="F107" i="1"/>
  <c r="BH106" i="1"/>
  <c r="BE106" i="1"/>
  <c r="BA106" i="1"/>
  <c r="AX106" i="1"/>
  <c r="AR106" i="1"/>
  <c r="AO106" i="1"/>
  <c r="AI106" i="1"/>
  <c r="AF106" i="1"/>
  <c r="Z106" i="1"/>
  <c r="AA105" i="1" s="1"/>
  <c r="X106" i="1"/>
  <c r="U106" i="1"/>
  <c r="R106" i="1"/>
  <c r="O106" i="1"/>
  <c r="L106" i="1"/>
  <c r="BH105" i="1"/>
  <c r="BE105" i="1"/>
  <c r="BA105" i="1"/>
  <c r="BB105" i="1" s="1"/>
  <c r="AY105" i="1"/>
  <c r="AX105" i="1"/>
  <c r="AR105" i="1"/>
  <c r="AS105" i="1" s="1"/>
  <c r="AP105" i="1"/>
  <c r="AO105" i="1"/>
  <c r="AL105" i="1"/>
  <c r="AI105" i="1"/>
  <c r="AJ105" i="1" s="1"/>
  <c r="AG105" i="1"/>
  <c r="AF105" i="1"/>
  <c r="AC105" i="1"/>
  <c r="Z105" i="1"/>
  <c r="X105" i="1"/>
  <c r="V105" i="1"/>
  <c r="U105" i="1"/>
  <c r="R105" i="1"/>
  <c r="O105" i="1"/>
  <c r="P105" i="1" s="1"/>
  <c r="L105" i="1"/>
  <c r="J105" i="1"/>
  <c r="F105" i="1"/>
  <c r="BH104" i="1"/>
  <c r="BE104" i="1"/>
  <c r="BA104" i="1"/>
  <c r="AX104" i="1"/>
  <c r="AR104" i="1"/>
  <c r="AO104" i="1"/>
  <c r="AI104" i="1"/>
  <c r="AF104" i="1"/>
  <c r="Z104" i="1"/>
  <c r="X104" i="1"/>
  <c r="U104" i="1"/>
  <c r="R104" i="1"/>
  <c r="O104" i="1"/>
  <c r="L104" i="1"/>
  <c r="BI103" i="1"/>
  <c r="BH103" i="1"/>
  <c r="BE103" i="1"/>
  <c r="BB103" i="1"/>
  <c r="BA103" i="1"/>
  <c r="AX103" i="1"/>
  <c r="AY103" i="1" s="1"/>
  <c r="AS103" i="1"/>
  <c r="AR103" i="1"/>
  <c r="AO103" i="1"/>
  <c r="AL103" i="1"/>
  <c r="AI103" i="1"/>
  <c r="AJ103" i="1" s="1"/>
  <c r="AF103" i="1"/>
  <c r="AG103" i="1" s="1"/>
  <c r="AC103" i="1"/>
  <c r="Z103" i="1"/>
  <c r="X103" i="1"/>
  <c r="U103" i="1"/>
  <c r="V103" i="1" s="1"/>
  <c r="R103" i="1"/>
  <c r="S103" i="1" s="1"/>
  <c r="O103" i="1"/>
  <c r="L103" i="1"/>
  <c r="M103" i="1" s="1"/>
  <c r="J103" i="1"/>
  <c r="F103" i="1"/>
  <c r="BH102" i="1"/>
  <c r="BI101" i="1" s="1"/>
  <c r="BE102" i="1"/>
  <c r="BA102" i="1"/>
  <c r="AX102" i="1"/>
  <c r="AR102" i="1"/>
  <c r="AO102" i="1"/>
  <c r="AI102" i="1"/>
  <c r="AF102" i="1"/>
  <c r="AG101" i="1" s="1"/>
  <c r="Z102" i="1"/>
  <c r="X102" i="1"/>
  <c r="U102" i="1"/>
  <c r="R102" i="1"/>
  <c r="O102" i="1"/>
  <c r="L102" i="1"/>
  <c r="M101" i="1" s="1"/>
  <c r="BH101" i="1"/>
  <c r="BF101" i="1"/>
  <c r="BE101" i="1"/>
  <c r="BA101" i="1"/>
  <c r="BB101" i="1" s="1"/>
  <c r="AX101" i="1"/>
  <c r="AY101" i="1" s="1"/>
  <c r="AR101" i="1"/>
  <c r="AO101" i="1"/>
  <c r="AP101" i="1" s="1"/>
  <c r="AL101" i="1"/>
  <c r="AI101" i="1"/>
  <c r="AJ101" i="1" s="1"/>
  <c r="AF101" i="1"/>
  <c r="AC101" i="1"/>
  <c r="AA101" i="1"/>
  <c r="Z101" i="1"/>
  <c r="Y101" i="1"/>
  <c r="X101" i="1"/>
  <c r="U101" i="1"/>
  <c r="V101" i="1" s="1"/>
  <c r="R101" i="1"/>
  <c r="S101" i="1" s="1"/>
  <c r="P101" i="1"/>
  <c r="O101" i="1"/>
  <c r="L101" i="1"/>
  <c r="J101" i="1"/>
  <c r="F101" i="1"/>
  <c r="BH100" i="1"/>
  <c r="BE100" i="1"/>
  <c r="BA100" i="1"/>
  <c r="BB99" i="1" s="1"/>
  <c r="AX100" i="1"/>
  <c r="AR100" i="1"/>
  <c r="AO100" i="1"/>
  <c r="AI100" i="1"/>
  <c r="AJ99" i="1" s="1"/>
  <c r="AF100" i="1"/>
  <c r="Z100" i="1"/>
  <c r="X100" i="1"/>
  <c r="U100" i="1"/>
  <c r="R100" i="1"/>
  <c r="O100" i="1"/>
  <c r="L100" i="1"/>
  <c r="BH99" i="1"/>
  <c r="BI99" i="1" s="1"/>
  <c r="BE99" i="1"/>
  <c r="BF99" i="1" s="1"/>
  <c r="BA99" i="1"/>
  <c r="AY99" i="1"/>
  <c r="AX99" i="1"/>
  <c r="AR99" i="1"/>
  <c r="AS99" i="1" s="1"/>
  <c r="AO99" i="1"/>
  <c r="AP99" i="1" s="1"/>
  <c r="AL99" i="1"/>
  <c r="AI99" i="1"/>
  <c r="AF99" i="1"/>
  <c r="AG99" i="1" s="1"/>
  <c r="AC99" i="1"/>
  <c r="Z99" i="1"/>
  <c r="AA99" i="1" s="1"/>
  <c r="X99" i="1"/>
  <c r="Y99" i="1" s="1"/>
  <c r="U99" i="1"/>
  <c r="R99" i="1"/>
  <c r="S99" i="1" s="1"/>
  <c r="O99" i="1"/>
  <c r="P99" i="1" s="1"/>
  <c r="M99" i="1"/>
  <c r="L99" i="1"/>
  <c r="J99" i="1"/>
  <c r="F99" i="1"/>
  <c r="BH98" i="1"/>
  <c r="BE98" i="1"/>
  <c r="BA98" i="1"/>
  <c r="AX98" i="1"/>
  <c r="AR98" i="1"/>
  <c r="AS97" i="1" s="1"/>
  <c r="AO98" i="1"/>
  <c r="AI98" i="1"/>
  <c r="AF98" i="1"/>
  <c r="Z98" i="1"/>
  <c r="X98" i="1"/>
  <c r="U98" i="1"/>
  <c r="R98" i="1"/>
  <c r="O98" i="1"/>
  <c r="L98" i="1"/>
  <c r="BH97" i="1"/>
  <c r="BF97" i="1"/>
  <c r="BE97" i="1"/>
  <c r="BB97" i="1"/>
  <c r="BA97" i="1"/>
  <c r="AX97" i="1"/>
  <c r="AY97" i="1" s="1"/>
  <c r="AR97" i="1"/>
  <c r="AO97" i="1"/>
  <c r="AP97" i="1" s="1"/>
  <c r="AL97" i="1"/>
  <c r="AI97" i="1"/>
  <c r="AJ97" i="1" s="1"/>
  <c r="AF97" i="1"/>
  <c r="AC97" i="1"/>
  <c r="AA97" i="1"/>
  <c r="Z97" i="1"/>
  <c r="X97" i="1"/>
  <c r="Y97" i="1" s="1"/>
  <c r="U97" i="1"/>
  <c r="V97" i="1" s="1"/>
  <c r="S97" i="1"/>
  <c r="R97" i="1"/>
  <c r="P97" i="1"/>
  <c r="O97" i="1"/>
  <c r="L97" i="1"/>
  <c r="M97" i="1" s="1"/>
  <c r="J97" i="1"/>
  <c r="F97" i="1"/>
  <c r="BH96" i="1"/>
  <c r="BE96" i="1"/>
  <c r="BA96" i="1"/>
  <c r="AX96" i="1"/>
  <c r="AR96" i="1"/>
  <c r="AO96" i="1"/>
  <c r="AP95" i="1" s="1"/>
  <c r="AI96" i="1"/>
  <c r="AF96" i="1"/>
  <c r="Z96" i="1"/>
  <c r="X96" i="1"/>
  <c r="U96" i="1"/>
  <c r="R96" i="1"/>
  <c r="O96" i="1"/>
  <c r="L96" i="1"/>
  <c r="M95" i="1" s="1"/>
  <c r="BH95" i="1"/>
  <c r="BI95" i="1" s="1"/>
  <c r="BF95" i="1"/>
  <c r="BE95" i="1"/>
  <c r="BB95" i="1"/>
  <c r="BA95" i="1"/>
  <c r="AX95" i="1"/>
  <c r="AY95" i="1" s="1"/>
  <c r="AR95" i="1"/>
  <c r="AS95" i="1" s="1"/>
  <c r="AO95" i="1"/>
  <c r="AL95" i="1"/>
  <c r="AI95" i="1"/>
  <c r="AJ95" i="1" s="1"/>
  <c r="AF95" i="1"/>
  <c r="AC95" i="1"/>
  <c r="Z95" i="1"/>
  <c r="AA95" i="1" s="1"/>
  <c r="Y95" i="1"/>
  <c r="X95" i="1"/>
  <c r="U95" i="1"/>
  <c r="R95" i="1"/>
  <c r="S95" i="1" s="1"/>
  <c r="P95" i="1"/>
  <c r="O95" i="1"/>
  <c r="L95" i="1"/>
  <c r="J95" i="1"/>
  <c r="F95" i="1"/>
  <c r="BH94" i="1"/>
  <c r="BE94" i="1"/>
  <c r="BA94" i="1"/>
  <c r="AX94" i="1"/>
  <c r="AR94" i="1"/>
  <c r="AS93" i="1" s="1"/>
  <c r="AO94" i="1"/>
  <c r="AI94" i="1"/>
  <c r="AF94" i="1"/>
  <c r="Z94" i="1"/>
  <c r="X94" i="1"/>
  <c r="U94" i="1"/>
  <c r="R94" i="1"/>
  <c r="O94" i="1"/>
  <c r="L94" i="1"/>
  <c r="BH93" i="1"/>
  <c r="BF93" i="1"/>
  <c r="BE93" i="1"/>
  <c r="BA93" i="1"/>
  <c r="BB93" i="1" s="1"/>
  <c r="AX93" i="1"/>
  <c r="AY93" i="1" s="1"/>
  <c r="AR93" i="1"/>
  <c r="AO93" i="1"/>
  <c r="AP93" i="1" s="1"/>
  <c r="AL93" i="1"/>
  <c r="AI93" i="1"/>
  <c r="AJ93" i="1" s="1"/>
  <c r="AF93" i="1"/>
  <c r="AG93" i="1" s="1"/>
  <c r="AC93" i="1"/>
  <c r="AA93" i="1"/>
  <c r="Z93" i="1"/>
  <c r="X93" i="1"/>
  <c r="Y93" i="1" s="1"/>
  <c r="U93" i="1"/>
  <c r="V93" i="1" s="1"/>
  <c r="S93" i="1"/>
  <c r="R93" i="1"/>
  <c r="P93" i="1"/>
  <c r="O93" i="1"/>
  <c r="L93" i="1"/>
  <c r="M93" i="1" s="1"/>
  <c r="J93" i="1"/>
  <c r="F93" i="1"/>
  <c r="BH92" i="1"/>
  <c r="BE92" i="1"/>
  <c r="BA92" i="1"/>
  <c r="AX92" i="1"/>
  <c r="AR92" i="1"/>
  <c r="AO92" i="1"/>
  <c r="AI92" i="1"/>
  <c r="AF92" i="1"/>
  <c r="Z92" i="1"/>
  <c r="X92" i="1"/>
  <c r="U92" i="1"/>
  <c r="R92" i="1"/>
  <c r="O92" i="1"/>
  <c r="L92" i="1"/>
  <c r="BH91" i="1"/>
  <c r="BI91" i="1" s="1"/>
  <c r="BF91" i="1"/>
  <c r="BE91" i="1"/>
  <c r="BB91" i="1"/>
  <c r="BA91" i="1"/>
  <c r="AX91" i="1"/>
  <c r="AY91" i="1" s="1"/>
  <c r="AR91" i="1"/>
  <c r="AS91" i="1" s="1"/>
  <c r="AP91" i="1"/>
  <c r="AO91" i="1"/>
  <c r="AL91" i="1"/>
  <c r="AI91" i="1"/>
  <c r="AJ91" i="1" s="1"/>
  <c r="AF91" i="1"/>
  <c r="AC91" i="1"/>
  <c r="Z91" i="1"/>
  <c r="AA91" i="1" s="1"/>
  <c r="Y91" i="1"/>
  <c r="X91" i="1"/>
  <c r="U91" i="1"/>
  <c r="R91" i="1"/>
  <c r="S91" i="1" s="1"/>
  <c r="O91" i="1"/>
  <c r="L91" i="1"/>
  <c r="J91" i="1"/>
  <c r="F91" i="1"/>
  <c r="BH90" i="1"/>
  <c r="BE90" i="1"/>
  <c r="BA90" i="1"/>
  <c r="AX90" i="1"/>
  <c r="AR90" i="1"/>
  <c r="AO90" i="1"/>
  <c r="AI90" i="1"/>
  <c r="AF90" i="1"/>
  <c r="Z90" i="1"/>
  <c r="X90" i="1"/>
  <c r="U90" i="1"/>
  <c r="R90" i="1"/>
  <c r="O90" i="1"/>
  <c r="L90" i="1"/>
  <c r="BH89" i="1"/>
  <c r="BI89" i="1" s="1"/>
  <c r="BE89" i="1"/>
  <c r="BF89" i="1" s="1"/>
  <c r="BA89" i="1"/>
  <c r="AX89" i="1"/>
  <c r="AY89" i="1" s="1"/>
  <c r="AR89" i="1"/>
  <c r="AO89" i="1"/>
  <c r="AP89" i="1" s="1"/>
  <c r="AL89" i="1"/>
  <c r="AI89" i="1"/>
  <c r="AJ89" i="1" s="1"/>
  <c r="AG89" i="1"/>
  <c r="AF89" i="1"/>
  <c r="AC89" i="1"/>
  <c r="Z89" i="1"/>
  <c r="AA89" i="1" s="1"/>
  <c r="X89" i="1"/>
  <c r="Y89" i="1" s="1"/>
  <c r="U89" i="1"/>
  <c r="V89" i="1" s="1"/>
  <c r="R89" i="1"/>
  <c r="S89" i="1" s="1"/>
  <c r="O89" i="1"/>
  <c r="L89" i="1"/>
  <c r="M89" i="1" s="1"/>
  <c r="J89" i="1"/>
  <c r="F89" i="1"/>
  <c r="BH88" i="1"/>
  <c r="BE88" i="1"/>
  <c r="BA88" i="1"/>
  <c r="AX88" i="1"/>
  <c r="AR88" i="1"/>
  <c r="AO88" i="1"/>
  <c r="AI88" i="1"/>
  <c r="AF88" i="1"/>
  <c r="Z88" i="1"/>
  <c r="X88" i="1"/>
  <c r="U88" i="1"/>
  <c r="R88" i="1"/>
  <c r="O88" i="1"/>
  <c r="L88" i="1"/>
  <c r="BH87" i="1"/>
  <c r="BE87" i="1"/>
  <c r="BF87" i="1" s="1"/>
  <c r="BA87" i="1"/>
  <c r="AX87" i="1"/>
  <c r="AY87" i="1" s="1"/>
  <c r="AR87" i="1"/>
  <c r="AS87" i="1" s="1"/>
  <c r="AO87" i="1"/>
  <c r="AL87" i="1"/>
  <c r="AJ87" i="1"/>
  <c r="AI87" i="1"/>
  <c r="AF87" i="1"/>
  <c r="AC87" i="1"/>
  <c r="Z87" i="1"/>
  <c r="AA87" i="1" s="1"/>
  <c r="X87" i="1"/>
  <c r="Y87" i="1" s="1"/>
  <c r="U87" i="1"/>
  <c r="R87" i="1"/>
  <c r="S87" i="1" s="1"/>
  <c r="O87" i="1"/>
  <c r="P87" i="1" s="1"/>
  <c r="L87" i="1"/>
  <c r="J87" i="1"/>
  <c r="F87" i="1"/>
  <c r="BH86" i="1"/>
  <c r="BE86" i="1"/>
  <c r="BA86" i="1"/>
  <c r="AX86" i="1"/>
  <c r="AR86" i="1"/>
  <c r="AO86" i="1"/>
  <c r="AI86" i="1"/>
  <c r="AF86" i="1"/>
  <c r="Z86" i="1"/>
  <c r="X86" i="1"/>
  <c r="U86" i="1"/>
  <c r="R86" i="1"/>
  <c r="O86" i="1"/>
  <c r="L86" i="1"/>
  <c r="BH85" i="1"/>
  <c r="BI85" i="1" s="1"/>
  <c r="BE85" i="1"/>
  <c r="BA85" i="1"/>
  <c r="BB85" i="1" s="1"/>
  <c r="AX85" i="1"/>
  <c r="AY85" i="1" s="1"/>
  <c r="AR85" i="1"/>
  <c r="AO85" i="1"/>
  <c r="AP85" i="1" s="1"/>
  <c r="AL85" i="1"/>
  <c r="AI85" i="1"/>
  <c r="AJ85" i="1" s="1"/>
  <c r="AF85" i="1"/>
  <c r="AG85" i="1" s="1"/>
  <c r="AC85" i="1"/>
  <c r="Z85" i="1"/>
  <c r="AA85" i="1" s="1"/>
  <c r="X85" i="1"/>
  <c r="Y85" i="1" s="1"/>
  <c r="U85" i="1"/>
  <c r="V85" i="1" s="1"/>
  <c r="R85" i="1"/>
  <c r="O85" i="1"/>
  <c r="L85" i="1"/>
  <c r="M85" i="1" s="1"/>
  <c r="J85" i="1"/>
  <c r="F85" i="1"/>
  <c r="V99" i="1" l="1"/>
  <c r="BF85" i="1"/>
  <c r="BB87" i="1"/>
  <c r="AS89" i="1"/>
  <c r="AG97" i="1"/>
  <c r="Y111" i="1"/>
  <c r="AS111" i="1"/>
  <c r="V113" i="1"/>
  <c r="AP113" i="1"/>
  <c r="P117" i="1"/>
  <c r="M119" i="1"/>
  <c r="BI119" i="1"/>
  <c r="P127" i="1"/>
  <c r="P135" i="1"/>
  <c r="AA141" i="1"/>
  <c r="AY141" i="1"/>
  <c r="V143" i="1"/>
  <c r="AY149" i="1"/>
  <c r="V91" i="1"/>
  <c r="AG129" i="1"/>
  <c r="AG137" i="1"/>
  <c r="P85" i="1"/>
  <c r="AG87" i="1"/>
  <c r="S85" i="1"/>
  <c r="M87" i="1"/>
  <c r="BI87" i="1"/>
  <c r="BB89" i="1"/>
  <c r="BI97" i="1"/>
  <c r="AA103" i="1"/>
  <c r="M105" i="1"/>
  <c r="Y107" i="1"/>
  <c r="BF109" i="1"/>
  <c r="BB111" i="1"/>
  <c r="AA113" i="1"/>
  <c r="AY113" i="1"/>
  <c r="Y115" i="1"/>
  <c r="AS115" i="1"/>
  <c r="V117" i="1"/>
  <c r="P121" i="1"/>
  <c r="AJ121" i="1"/>
  <c r="M123" i="1"/>
  <c r="M125" i="1"/>
  <c r="M127" i="1"/>
  <c r="M133" i="1"/>
  <c r="M135" i="1"/>
  <c r="BI139" i="1"/>
  <c r="BB149" i="1"/>
  <c r="P89" i="1"/>
  <c r="AG95" i="1"/>
  <c r="AS101" i="1"/>
  <c r="S105" i="1"/>
  <c r="V107" i="1"/>
  <c r="AJ141" i="1"/>
  <c r="S149" i="1"/>
  <c r="AS85" i="1"/>
  <c r="V87" i="1"/>
  <c r="AP87" i="1"/>
  <c r="M91" i="1"/>
  <c r="BI93" i="1"/>
  <c r="P103" i="1"/>
  <c r="BF105" i="1"/>
  <c r="P111" i="1"/>
  <c r="M113" i="1"/>
  <c r="BI113" i="1"/>
  <c r="BF115" i="1"/>
  <c r="BB117" i="1"/>
  <c r="AA119" i="1"/>
  <c r="AY119" i="1"/>
  <c r="Y121" i="1"/>
  <c r="AS121" i="1"/>
  <c r="V123" i="1"/>
  <c r="AP123" i="1"/>
  <c r="P125" i="1"/>
  <c r="M131" i="1"/>
  <c r="P133" i="1"/>
  <c r="M139" i="1"/>
  <c r="S141" i="1"/>
  <c r="AG143" i="1"/>
  <c r="BF143" i="1"/>
  <c r="V95" i="1"/>
  <c r="Y103" i="1"/>
  <c r="AA107" i="1"/>
  <c r="AY121" i="1"/>
  <c r="AA151" i="1"/>
  <c r="AG91" i="1"/>
  <c r="BF103" i="1"/>
  <c r="AA123" i="1"/>
  <c r="AJ125" i="1"/>
  <c r="Y127" i="1"/>
  <c r="AJ133" i="1"/>
  <c r="Y135" i="1"/>
  <c r="AG139" i="1"/>
  <c r="BB139" i="1"/>
  <c r="AY145" i="1"/>
  <c r="Y105" i="1"/>
  <c r="Y109" i="1"/>
  <c r="S111" i="1"/>
  <c r="AP117" i="1"/>
  <c r="BF117" i="1"/>
  <c r="S119" i="1"/>
  <c r="AP103" i="1"/>
  <c r="BI105" i="1"/>
  <c r="AP107" i="1"/>
  <c r="AY115" i="1"/>
  <c r="BF141" i="1"/>
  <c r="S115" i="1"/>
  <c r="BF125" i="1"/>
  <c r="BF133" i="1"/>
  <c r="AG145" i="1"/>
  <c r="AG153" i="1"/>
  <c r="AG127" i="1"/>
  <c r="BI127" i="1"/>
  <c r="AG135" i="1"/>
  <c r="BI135" i="1"/>
  <c r="S145" i="1"/>
  <c r="AJ147" i="1"/>
  <c r="S153" i="1"/>
  <c r="AP125" i="1"/>
  <c r="S127" i="1"/>
  <c r="BF129" i="1"/>
  <c r="AP133" i="1"/>
  <c r="S135" i="1"/>
  <c r="AJ137" i="1"/>
  <c r="BF137" i="1"/>
  <c r="Y141" i="1"/>
  <c r="BI141" i="1"/>
  <c r="V147" i="1"/>
  <c r="AG149" i="1"/>
  <c r="BI149" i="1"/>
  <c r="BA21" i="1"/>
  <c r="BA76" i="1"/>
  <c r="BA66" i="1" l="1"/>
  <c r="BA59" i="1"/>
  <c r="AX58" i="1"/>
  <c r="AX54" i="1"/>
  <c r="AX20" i="1"/>
  <c r="AX70" i="1"/>
  <c r="BA20" i="1"/>
  <c r="BA8" i="1"/>
  <c r="AX80" i="1"/>
  <c r="AX74" i="1"/>
  <c r="BA74" i="1"/>
  <c r="AX66" i="1"/>
  <c r="BA24" i="1"/>
  <c r="BA33" i="1"/>
  <c r="BA41" i="1"/>
  <c r="BA10" i="1"/>
  <c r="AX77" i="1"/>
  <c r="BA70" i="1"/>
  <c r="BA58" i="1"/>
  <c r="BA42" i="1"/>
  <c r="AX26" i="1"/>
  <c r="BA19" i="1"/>
  <c r="BA12" i="1"/>
  <c r="AX32" i="1"/>
  <c r="BA27" i="1"/>
  <c r="BA26" i="1"/>
  <c r="AX76" i="1"/>
  <c r="AX53" i="1"/>
  <c r="AX52" i="1"/>
  <c r="AX40" i="1"/>
  <c r="BA71" i="1"/>
  <c r="BA43" i="1"/>
  <c r="AX42" i="1"/>
  <c r="AX24" i="1"/>
  <c r="AX12" i="1"/>
  <c r="AX65" i="1"/>
  <c r="AX36" i="1"/>
  <c r="AX18" i="1"/>
  <c r="BA49" i="1"/>
  <c r="AX59" i="1"/>
  <c r="AX8" i="1"/>
  <c r="AX5" i="1"/>
  <c r="BA69" i="1"/>
  <c r="AX51" i="1"/>
  <c r="BA78" i="1"/>
  <c r="BA68" i="1"/>
  <c r="AX60" i="1"/>
  <c r="AX48" i="1"/>
  <c r="BA40" i="1"/>
  <c r="BA22" i="1"/>
  <c r="AX7" i="1"/>
  <c r="BA6" i="1"/>
  <c r="AX68" i="1"/>
  <c r="AX56" i="1"/>
  <c r="BA50" i="1"/>
  <c r="BA44" i="1"/>
  <c r="BA38" i="1"/>
  <c r="BA36" i="1"/>
  <c r="BA18" i="1"/>
  <c r="AX16" i="1"/>
  <c r="BA13" i="1"/>
  <c r="AX10" i="1"/>
  <c r="AX6" i="1"/>
  <c r="BA60" i="1"/>
  <c r="BA48" i="1"/>
  <c r="AX35" i="1"/>
  <c r="AX78" i="1"/>
  <c r="BA72" i="1"/>
  <c r="BA56" i="1"/>
  <c r="BA34" i="1"/>
  <c r="BA5" i="1"/>
  <c r="AX71" i="1"/>
  <c r="AX63" i="1"/>
  <c r="BA61" i="1"/>
  <c r="BA57" i="1"/>
  <c r="BA52" i="1"/>
  <c r="AX46" i="1"/>
  <c r="AX43" i="1"/>
  <c r="AX34" i="1"/>
  <c r="BA32" i="1"/>
  <c r="AX30" i="1"/>
  <c r="AX21" i="1"/>
  <c r="BA16" i="1"/>
  <c r="BA77" i="1"/>
  <c r="AX79" i="1"/>
  <c r="AY79" i="1" s="1"/>
  <c r="BA80" i="1"/>
  <c r="AX69" i="1"/>
  <c r="BA55" i="1"/>
  <c r="BA75" i="1"/>
  <c r="BB75" i="1" s="1"/>
  <c r="AX73" i="1"/>
  <c r="AX72" i="1"/>
  <c r="BA64" i="1"/>
  <c r="BA62" i="1"/>
  <c r="AX61" i="1"/>
  <c r="AX55" i="1"/>
  <c r="BA53" i="1"/>
  <c r="BA51" i="1"/>
  <c r="AX50" i="1"/>
  <c r="BA31" i="1"/>
  <c r="BA30" i="1"/>
  <c r="AX9" i="1"/>
  <c r="BA7" i="1"/>
  <c r="BA54" i="1"/>
  <c r="BA79" i="1"/>
  <c r="AX75" i="1"/>
  <c r="BA73" i="1"/>
  <c r="BA67" i="1"/>
  <c r="AX64" i="1"/>
  <c r="AX57" i="1"/>
  <c r="BA37" i="1"/>
  <c r="AX19" i="1"/>
  <c r="BA35" i="1"/>
  <c r="BB35" i="1" s="1"/>
  <c r="AX67" i="1"/>
  <c r="BA65" i="1"/>
  <c r="BB65" i="1" s="1"/>
  <c r="BA63" i="1"/>
  <c r="AX62" i="1"/>
  <c r="AX49" i="1"/>
  <c r="BA39" i="1"/>
  <c r="AX29" i="1"/>
  <c r="BA11" i="1"/>
  <c r="BB11" i="1" s="1"/>
  <c r="BA47" i="1"/>
  <c r="BA46" i="1"/>
  <c r="BA45" i="1"/>
  <c r="AX44" i="1"/>
  <c r="AX39" i="1"/>
  <c r="AX38" i="1"/>
  <c r="AX31" i="1"/>
  <c r="BA29" i="1"/>
  <c r="AX28" i="1"/>
  <c r="BA25" i="1"/>
  <c r="AX23" i="1"/>
  <c r="AX22" i="1"/>
  <c r="AX13" i="1"/>
  <c r="AX47" i="1"/>
  <c r="AX45" i="1"/>
  <c r="AX41" i="1"/>
  <c r="AX33" i="1"/>
  <c r="AX25" i="1"/>
  <c r="BA23" i="1"/>
  <c r="BB21" i="1"/>
  <c r="BA17" i="1"/>
  <c r="AX15" i="1"/>
  <c r="BA14" i="1"/>
  <c r="AX11" i="1"/>
  <c r="AX37" i="1"/>
  <c r="BA28" i="1"/>
  <c r="AX27" i="1"/>
  <c r="AX17" i="1"/>
  <c r="BA15" i="1"/>
  <c r="AX14" i="1"/>
  <c r="BA9" i="1"/>
  <c r="AY37" i="1" l="1"/>
  <c r="AY55" i="1"/>
  <c r="BB73" i="1"/>
  <c r="AY21" i="1"/>
  <c r="BB63" i="1"/>
  <c r="AY19" i="1"/>
  <c r="BB69" i="1"/>
  <c r="BB49" i="1"/>
  <c r="BB41" i="1"/>
  <c r="BB67" i="1"/>
  <c r="BB55" i="1"/>
  <c r="AY65" i="1"/>
  <c r="BB39" i="1"/>
  <c r="BB71" i="1"/>
  <c r="BB17" i="1"/>
  <c r="AY69" i="1"/>
  <c r="AY29" i="1"/>
  <c r="BB77" i="1"/>
  <c r="AY5" i="1"/>
  <c r="BB59" i="1"/>
  <c r="AY63" i="1"/>
  <c r="AY11" i="1"/>
  <c r="BB5" i="1"/>
  <c r="AY77" i="1"/>
  <c r="AY31" i="1"/>
  <c r="AY41" i="1"/>
  <c r="AY39" i="1"/>
  <c r="BB31" i="1"/>
  <c r="BB57" i="1"/>
  <c r="BB33" i="1"/>
  <c r="AY35" i="1"/>
  <c r="AY7" i="1"/>
  <c r="BB43" i="1"/>
  <c r="BB19" i="1"/>
  <c r="AY71" i="1"/>
  <c r="AY51" i="1"/>
  <c r="AY53" i="1"/>
  <c r="BB15" i="1"/>
  <c r="BB23" i="1"/>
  <c r="BB25" i="1"/>
  <c r="AY57" i="1"/>
  <c r="AY73" i="1"/>
  <c r="BB9" i="1"/>
  <c r="BB13" i="1"/>
  <c r="AY17" i="1"/>
  <c r="BB27" i="1"/>
  <c r="AY25" i="1"/>
  <c r="AY47" i="1"/>
  <c r="AY23" i="1"/>
  <c r="AY67" i="1"/>
  <c r="BB37" i="1"/>
  <c r="AY59" i="1"/>
  <c r="AY45" i="1"/>
  <c r="BB29" i="1"/>
  <c r="AY75" i="1"/>
  <c r="AY15" i="1"/>
  <c r="AY43" i="1"/>
  <c r="BB47" i="1"/>
  <c r="BB61" i="1"/>
  <c r="AY33" i="1"/>
  <c r="AY49" i="1"/>
  <c r="BB53" i="1"/>
  <c r="AY9" i="1"/>
  <c r="BB45" i="1"/>
  <c r="AY61" i="1"/>
  <c r="AY13" i="1"/>
  <c r="AY27" i="1"/>
  <c r="BB79" i="1"/>
  <c r="BB7" i="1"/>
  <c r="BB51" i="1"/>
  <c r="AR52" i="1" l="1"/>
  <c r="AR51" i="1"/>
  <c r="AR64" i="1"/>
  <c r="AR63" i="1"/>
  <c r="AI64" i="1"/>
  <c r="AI63" i="1"/>
  <c r="Z64" i="1"/>
  <c r="X64" i="1"/>
  <c r="Z63" i="1"/>
  <c r="X63" i="1"/>
  <c r="AI52" i="1"/>
  <c r="AI51" i="1"/>
  <c r="Z52" i="1"/>
  <c r="X52" i="1"/>
  <c r="Z51" i="1"/>
  <c r="X51" i="1"/>
  <c r="Y51" i="1" l="1"/>
  <c r="AA51" i="1"/>
  <c r="AS51" i="1"/>
  <c r="Y63" i="1"/>
  <c r="AS63" i="1"/>
  <c r="AA63" i="1"/>
  <c r="AJ51" i="1"/>
  <c r="AJ63" i="1"/>
  <c r="AR24" i="1" l="1"/>
  <c r="AR23" i="1"/>
  <c r="AI24" i="1"/>
  <c r="AI23" i="1"/>
  <c r="Z24" i="1"/>
  <c r="X24" i="1"/>
  <c r="Z23" i="1"/>
  <c r="X23" i="1"/>
  <c r="AA23" i="1" l="1"/>
  <c r="Y23" i="1"/>
  <c r="AS23" i="1"/>
  <c r="AJ23" i="1"/>
  <c r="AR78" i="1"/>
  <c r="AR77" i="1"/>
  <c r="AI78" i="1"/>
  <c r="AI77" i="1"/>
  <c r="Z78" i="1"/>
  <c r="X78" i="1"/>
  <c r="Z77" i="1"/>
  <c r="X77" i="1"/>
  <c r="AA77" i="1" l="1"/>
  <c r="Y77" i="1"/>
  <c r="AS77" i="1"/>
  <c r="AJ77" i="1"/>
  <c r="AR22" i="1"/>
  <c r="AR21" i="1"/>
  <c r="AI22" i="1"/>
  <c r="AI21" i="1"/>
  <c r="Z22" i="1"/>
  <c r="X22" i="1"/>
  <c r="Z21" i="1"/>
  <c r="X21" i="1"/>
  <c r="AS21" i="1" l="1"/>
  <c r="Y21" i="1"/>
  <c r="AJ21" i="1"/>
  <c r="AA21" i="1"/>
  <c r="AR76" i="1"/>
  <c r="AR75" i="1"/>
  <c r="AI76" i="1"/>
  <c r="AI75" i="1"/>
  <c r="AS75" i="1" l="1"/>
  <c r="AJ75" i="1"/>
  <c r="AR20" i="1"/>
  <c r="AR19" i="1"/>
  <c r="AR18" i="1"/>
  <c r="AR17" i="1"/>
  <c r="AI20" i="1"/>
  <c r="AI19" i="1"/>
  <c r="AI18" i="1"/>
  <c r="AI17" i="1"/>
  <c r="AJ19" i="1" l="1"/>
  <c r="AJ17" i="1"/>
  <c r="AS17" i="1"/>
  <c r="AS19" i="1"/>
  <c r="Z76" i="1"/>
  <c r="X76" i="1"/>
  <c r="Z75" i="1"/>
  <c r="X75" i="1"/>
  <c r="Z20" i="1"/>
  <c r="X20" i="1"/>
  <c r="Z19" i="1"/>
  <c r="X19" i="1"/>
  <c r="Z18" i="1"/>
  <c r="X18" i="1"/>
  <c r="Z17" i="1"/>
  <c r="X17" i="1"/>
  <c r="Y19" i="1" l="1"/>
  <c r="Y75" i="1"/>
  <c r="AA75" i="1"/>
  <c r="AA19" i="1"/>
  <c r="AA17" i="1"/>
  <c r="Y17" i="1"/>
  <c r="AR32" i="1"/>
  <c r="AR31" i="1"/>
  <c r="AI32" i="1"/>
  <c r="AI31" i="1"/>
  <c r="Z32" i="1"/>
  <c r="X32" i="1"/>
  <c r="Z31" i="1"/>
  <c r="X31" i="1"/>
  <c r="Y31" i="1" l="1"/>
  <c r="AA31" i="1"/>
  <c r="AS31" i="1"/>
  <c r="AJ31" i="1"/>
  <c r="AR62" i="1" l="1"/>
  <c r="AR61" i="1"/>
  <c r="AR42" i="1"/>
  <c r="AR41" i="1"/>
  <c r="AR16" i="1"/>
  <c r="AR15" i="1"/>
  <c r="AR14" i="1"/>
  <c r="AR13" i="1"/>
  <c r="AR12" i="1"/>
  <c r="AR11" i="1"/>
  <c r="AI62" i="1"/>
  <c r="AI61" i="1"/>
  <c r="AI42" i="1"/>
  <c r="AI41" i="1"/>
  <c r="AI16" i="1"/>
  <c r="AI15" i="1"/>
  <c r="AI14" i="1"/>
  <c r="AI13" i="1"/>
  <c r="AI12" i="1"/>
  <c r="AI11" i="1"/>
  <c r="Z62" i="1"/>
  <c r="X62" i="1"/>
  <c r="Z61" i="1"/>
  <c r="X61" i="1"/>
  <c r="AS15" i="1" l="1"/>
  <c r="AJ15" i="1"/>
  <c r="AS13" i="1"/>
  <c r="AJ61" i="1"/>
  <c r="AJ41" i="1"/>
  <c r="Y61" i="1"/>
  <c r="AS41" i="1"/>
  <c r="AJ13" i="1"/>
  <c r="AS11" i="1"/>
  <c r="AJ11" i="1"/>
  <c r="AS61" i="1"/>
  <c r="AA61" i="1"/>
  <c r="Z42" i="1"/>
  <c r="X42" i="1"/>
  <c r="Z41" i="1"/>
  <c r="X41" i="1"/>
  <c r="U78" i="1"/>
  <c r="U77" i="1"/>
  <c r="U76" i="1"/>
  <c r="U75" i="1"/>
  <c r="U64" i="1"/>
  <c r="U63" i="1"/>
  <c r="U62" i="1"/>
  <c r="U61" i="1"/>
  <c r="U52" i="1"/>
  <c r="U51" i="1"/>
  <c r="U32" i="1"/>
  <c r="U31" i="1"/>
  <c r="Y41" i="1" l="1"/>
  <c r="V51" i="1"/>
  <c r="V77" i="1"/>
  <c r="AA41" i="1"/>
  <c r="V63" i="1"/>
  <c r="V31" i="1"/>
  <c r="V75" i="1"/>
  <c r="V61" i="1"/>
  <c r="Z16" i="1"/>
  <c r="X16" i="1"/>
  <c r="Z15" i="1"/>
  <c r="X15" i="1"/>
  <c r="Z14" i="1"/>
  <c r="X14" i="1"/>
  <c r="Z13" i="1"/>
  <c r="X13" i="1"/>
  <c r="U24" i="1"/>
  <c r="U23" i="1"/>
  <c r="U22" i="1"/>
  <c r="U21" i="1"/>
  <c r="U20" i="1"/>
  <c r="U19" i="1"/>
  <c r="U18" i="1"/>
  <c r="U17" i="1"/>
  <c r="Z12" i="1"/>
  <c r="X12" i="1"/>
  <c r="Z11" i="1"/>
  <c r="X11" i="1"/>
  <c r="AA11" i="1" l="1"/>
  <c r="AA15" i="1"/>
  <c r="V23" i="1"/>
  <c r="Y11" i="1"/>
  <c r="V17" i="1"/>
  <c r="V21" i="1"/>
  <c r="AA13" i="1"/>
  <c r="V19" i="1"/>
  <c r="Y15" i="1"/>
  <c r="Y13" i="1"/>
  <c r="AR80" i="1" l="1"/>
  <c r="AR79" i="1"/>
  <c r="AR74" i="1"/>
  <c r="AR73" i="1"/>
  <c r="AR72" i="1"/>
  <c r="AR71" i="1"/>
  <c r="AR70" i="1"/>
  <c r="AR69" i="1"/>
  <c r="AR68" i="1"/>
  <c r="AR67" i="1"/>
  <c r="AR66" i="1"/>
  <c r="AR65" i="1"/>
  <c r="AR60" i="1"/>
  <c r="AR59" i="1"/>
  <c r="AR58" i="1"/>
  <c r="AR57" i="1"/>
  <c r="AR56" i="1"/>
  <c r="AR55" i="1"/>
  <c r="AR54" i="1"/>
  <c r="AR53" i="1"/>
  <c r="AR50" i="1"/>
  <c r="AR49" i="1"/>
  <c r="AR48" i="1"/>
  <c r="AR47" i="1"/>
  <c r="AR46" i="1"/>
  <c r="AR45" i="1"/>
  <c r="AR44" i="1"/>
  <c r="AR43" i="1"/>
  <c r="AR40" i="1"/>
  <c r="AR39" i="1"/>
  <c r="AR38" i="1"/>
  <c r="AR37" i="1"/>
  <c r="AR36" i="1"/>
  <c r="AR35" i="1"/>
  <c r="AR34" i="1"/>
  <c r="AR33" i="1"/>
  <c r="AR30" i="1"/>
  <c r="AR29" i="1"/>
  <c r="AR28" i="1"/>
  <c r="AR27" i="1"/>
  <c r="AR26" i="1"/>
  <c r="AR25" i="1"/>
  <c r="AR10" i="1"/>
  <c r="AR9" i="1"/>
  <c r="AR8" i="1"/>
  <c r="AR7" i="1"/>
  <c r="AR6" i="1"/>
  <c r="AO80" i="1"/>
  <c r="AO79" i="1"/>
  <c r="AO78" i="1"/>
  <c r="AO77" i="1"/>
  <c r="AO76" i="1"/>
  <c r="AO75" i="1"/>
  <c r="AO74" i="1"/>
  <c r="AO73" i="1"/>
  <c r="AO72" i="1"/>
  <c r="AO71" i="1"/>
  <c r="AO70" i="1"/>
  <c r="AO69" i="1"/>
  <c r="AO68" i="1"/>
  <c r="AO67" i="1"/>
  <c r="AO66" i="1"/>
  <c r="AO65" i="1"/>
  <c r="AO64" i="1"/>
  <c r="AO63" i="1"/>
  <c r="AO62" i="1"/>
  <c r="AO61" i="1"/>
  <c r="AO60" i="1"/>
  <c r="AO59" i="1"/>
  <c r="AO58" i="1"/>
  <c r="AO57" i="1"/>
  <c r="AO56" i="1"/>
  <c r="AO55" i="1"/>
  <c r="AO54" i="1"/>
  <c r="AO53" i="1"/>
  <c r="AO52" i="1"/>
  <c r="AO51" i="1"/>
  <c r="AO50" i="1"/>
  <c r="AO49" i="1"/>
  <c r="AO48" i="1"/>
  <c r="AO47" i="1"/>
  <c r="AO46" i="1"/>
  <c r="AO45" i="1"/>
  <c r="AO44" i="1"/>
  <c r="AO43" i="1"/>
  <c r="AO42" i="1"/>
  <c r="AO41" i="1"/>
  <c r="AO40" i="1"/>
  <c r="AO39" i="1"/>
  <c r="AO38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O22" i="1"/>
  <c r="AO21" i="1"/>
  <c r="AO20" i="1"/>
  <c r="AO19" i="1"/>
  <c r="AO18" i="1"/>
  <c r="AO17" i="1"/>
  <c r="AO16" i="1"/>
  <c r="AO15" i="1"/>
  <c r="AO14" i="1"/>
  <c r="AO13" i="1"/>
  <c r="AO12" i="1"/>
  <c r="AO11" i="1"/>
  <c r="AO10" i="1"/>
  <c r="AO9" i="1"/>
  <c r="AO8" i="1"/>
  <c r="AO7" i="1"/>
  <c r="AO6" i="1"/>
  <c r="BH78" i="1" l="1"/>
  <c r="BH77" i="1"/>
  <c r="BH76" i="1"/>
  <c r="BH63" i="1"/>
  <c r="BH62" i="1"/>
  <c r="BH61" i="1"/>
  <c r="BH52" i="1"/>
  <c r="BH51" i="1"/>
  <c r="BH42" i="1"/>
  <c r="BH41" i="1"/>
  <c r="BH32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I11" i="1" l="1"/>
  <c r="BI19" i="1"/>
  <c r="BI41" i="1"/>
  <c r="BI13" i="1"/>
  <c r="BI21" i="1"/>
  <c r="BI51" i="1"/>
  <c r="BI23" i="1"/>
  <c r="BI17" i="1"/>
  <c r="BE64" i="1"/>
  <c r="BH64" i="1"/>
  <c r="BI63" i="1" s="1"/>
  <c r="BH31" i="1"/>
  <c r="BI31" i="1" s="1"/>
  <c r="BH75" i="1"/>
  <c r="BI75" i="1" s="1"/>
  <c r="BI61" i="1"/>
  <c r="BI77" i="1"/>
  <c r="BE27" i="1"/>
  <c r="BI15" i="1"/>
  <c r="BE39" i="1"/>
  <c r="BE24" i="1"/>
  <c r="BE58" i="1"/>
  <c r="BE71" i="1"/>
  <c r="BE79" i="1"/>
  <c r="BE38" i="1"/>
  <c r="BE18" i="1"/>
  <c r="BE11" i="1"/>
  <c r="BE19" i="1"/>
  <c r="BE26" i="1"/>
  <c r="BE53" i="1"/>
  <c r="BE14" i="1"/>
  <c r="BE22" i="1"/>
  <c r="BE40" i="1"/>
  <c r="BE55" i="1"/>
  <c r="BE66" i="1"/>
  <c r="BE68" i="1"/>
  <c r="BE76" i="1"/>
  <c r="BE32" i="1"/>
  <c r="BE16" i="1"/>
  <c r="BE28" i="1"/>
  <c r="BE60" i="1"/>
  <c r="BE67" i="1"/>
  <c r="BE34" i="1"/>
  <c r="BE78" i="1"/>
  <c r="BE56" i="1"/>
  <c r="BE12" i="1"/>
  <c r="BE20" i="1"/>
  <c r="BE36" i="1"/>
  <c r="BE42" i="1"/>
  <c r="BE80" i="1"/>
  <c r="BE74" i="1"/>
  <c r="BE23" i="1"/>
  <c r="BE69" i="1"/>
  <c r="BE17" i="1"/>
  <c r="BE54" i="1"/>
  <c r="BE70" i="1"/>
  <c r="BE35" i="1"/>
  <c r="BE41" i="1"/>
  <c r="BE72" i="1"/>
  <c r="BE21" i="1"/>
  <c r="BE75" i="1"/>
  <c r="BE15" i="1"/>
  <c r="BE44" i="1"/>
  <c r="BE59" i="1"/>
  <c r="BH26" i="1"/>
  <c r="BH34" i="1"/>
  <c r="BH44" i="1"/>
  <c r="BH54" i="1"/>
  <c r="BH72" i="1"/>
  <c r="BE13" i="1"/>
  <c r="BE33" i="1"/>
  <c r="BH36" i="1"/>
  <c r="BH56" i="1"/>
  <c r="BH66" i="1"/>
  <c r="BH74" i="1"/>
  <c r="BE77" i="1"/>
  <c r="BE57" i="1"/>
  <c r="BH38" i="1"/>
  <c r="BH58" i="1"/>
  <c r="BH68" i="1"/>
  <c r="BH80" i="1"/>
  <c r="BE43" i="1"/>
  <c r="BE65" i="1"/>
  <c r="BE37" i="1"/>
  <c r="BE73" i="1"/>
  <c r="BH40" i="1"/>
  <c r="BH50" i="1"/>
  <c r="BH60" i="1"/>
  <c r="BH70" i="1"/>
  <c r="BE62" i="1"/>
  <c r="BE61" i="1"/>
  <c r="BE63" i="1"/>
  <c r="BE52" i="1"/>
  <c r="BE50" i="1"/>
  <c r="BE49" i="1"/>
  <c r="BE51" i="1"/>
  <c r="BE48" i="1"/>
  <c r="BE46" i="1"/>
  <c r="BE45" i="1"/>
  <c r="BH48" i="1"/>
  <c r="BE47" i="1"/>
  <c r="BH46" i="1"/>
  <c r="BE31" i="1"/>
  <c r="BE29" i="1"/>
  <c r="BE30" i="1"/>
  <c r="BH30" i="1"/>
  <c r="BH28" i="1"/>
  <c r="BE25" i="1"/>
  <c r="BH25" i="1"/>
  <c r="BH35" i="1"/>
  <c r="BH39" i="1"/>
  <c r="BH43" i="1"/>
  <c r="BH47" i="1"/>
  <c r="BH55" i="1"/>
  <c r="BH59" i="1"/>
  <c r="BH27" i="1"/>
  <c r="BH29" i="1"/>
  <c r="BH33" i="1"/>
  <c r="BH37" i="1"/>
  <c r="BH45" i="1"/>
  <c r="BH49" i="1"/>
  <c r="BH53" i="1"/>
  <c r="BH57" i="1"/>
  <c r="BH71" i="1"/>
  <c r="BH79" i="1"/>
  <c r="BH69" i="1"/>
  <c r="BH65" i="1"/>
  <c r="BH73" i="1"/>
  <c r="BH67" i="1"/>
  <c r="BF67" i="1" l="1"/>
  <c r="BI65" i="1"/>
  <c r="BF55" i="1"/>
  <c r="BF57" i="1"/>
  <c r="BF37" i="1"/>
  <c r="BF65" i="1"/>
  <c r="BF25" i="1"/>
  <c r="BF63" i="1"/>
  <c r="BI73" i="1"/>
  <c r="BF59" i="1"/>
  <c r="BI43" i="1"/>
  <c r="BF35" i="1"/>
  <c r="BF17" i="1"/>
  <c r="BI25" i="1"/>
  <c r="BF33" i="1"/>
  <c r="BF75" i="1"/>
  <c r="BI37" i="1"/>
  <c r="BI45" i="1"/>
  <c r="BF41" i="1"/>
  <c r="BF39" i="1"/>
  <c r="BI53" i="1"/>
  <c r="BI35" i="1"/>
  <c r="BF77" i="1"/>
  <c r="BF11" i="1"/>
  <c r="BF23" i="1"/>
  <c r="BF27" i="1"/>
  <c r="BI71" i="1"/>
  <c r="BF73" i="1"/>
  <c r="BF53" i="1"/>
  <c r="BI57" i="1"/>
  <c r="BF13" i="1"/>
  <c r="BF15" i="1"/>
  <c r="BI67" i="1"/>
  <c r="BI55" i="1"/>
  <c r="BF31" i="1"/>
  <c r="BI27" i="1"/>
  <c r="BF43" i="1"/>
  <c r="BF71" i="1"/>
  <c r="BF21" i="1"/>
  <c r="BF79" i="1"/>
  <c r="BF19" i="1"/>
  <c r="BF69" i="1"/>
  <c r="BI47" i="1"/>
  <c r="BF51" i="1"/>
  <c r="BF45" i="1"/>
  <c r="BI69" i="1"/>
  <c r="BI33" i="1"/>
  <c r="BI59" i="1"/>
  <c r="BI39" i="1"/>
  <c r="BI79" i="1"/>
  <c r="BI49" i="1"/>
  <c r="BF61" i="1"/>
  <c r="BF49" i="1"/>
  <c r="BF47" i="1"/>
  <c r="BI29" i="1"/>
  <c r="BF29" i="1"/>
  <c r="AI50" i="1" l="1"/>
  <c r="AI49" i="1"/>
  <c r="AS79" i="1"/>
  <c r="AS71" i="1"/>
  <c r="AS67" i="1"/>
  <c r="AS57" i="1"/>
  <c r="AS53" i="1"/>
  <c r="AS47" i="1"/>
  <c r="AS45" i="1"/>
  <c r="AS43" i="1"/>
  <c r="AS39" i="1"/>
  <c r="AS33" i="1"/>
  <c r="AS29" i="1"/>
  <c r="AS9" i="1"/>
  <c r="AP73" i="1"/>
  <c r="AP69" i="1"/>
  <c r="AP65" i="1"/>
  <c r="AP57" i="1"/>
  <c r="AP53" i="1"/>
  <c r="AP49" i="1"/>
  <c r="AP41" i="1"/>
  <c r="AP21" i="1"/>
  <c r="AP13" i="1"/>
  <c r="AP9" i="1"/>
  <c r="AL79" i="1"/>
  <c r="AL77" i="1"/>
  <c r="AL75" i="1"/>
  <c r="AL73" i="1"/>
  <c r="AL71" i="1"/>
  <c r="AL69" i="1"/>
  <c r="AL67" i="1"/>
  <c r="AL65" i="1"/>
  <c r="AL63" i="1"/>
  <c r="AL61" i="1"/>
  <c r="AL59" i="1"/>
  <c r="AL57" i="1"/>
  <c r="AL55" i="1"/>
  <c r="AL53" i="1"/>
  <c r="AL51" i="1"/>
  <c r="AL49" i="1"/>
  <c r="AL47" i="1"/>
  <c r="AL45" i="1"/>
  <c r="AL43" i="1"/>
  <c r="AL41" i="1"/>
  <c r="AL39" i="1"/>
  <c r="AL37" i="1"/>
  <c r="AL35" i="1"/>
  <c r="AL33" i="1"/>
  <c r="AL31" i="1"/>
  <c r="AL29" i="1"/>
  <c r="AL27" i="1"/>
  <c r="AL25" i="1"/>
  <c r="AL23" i="1"/>
  <c r="AL21" i="1"/>
  <c r="AL19" i="1"/>
  <c r="AL17" i="1"/>
  <c r="AL15" i="1"/>
  <c r="AL13" i="1"/>
  <c r="AL11" i="1"/>
  <c r="AL9" i="1"/>
  <c r="AO5" i="1"/>
  <c r="AJ49" i="1" l="1"/>
  <c r="AP35" i="1"/>
  <c r="AP43" i="1"/>
  <c r="AS27" i="1"/>
  <c r="AP59" i="1"/>
  <c r="AP63" i="1"/>
  <c r="AP71" i="1"/>
  <c r="AP17" i="1"/>
  <c r="AP37" i="1"/>
  <c r="AS37" i="1"/>
  <c r="AP25" i="1"/>
  <c r="AP39" i="1"/>
  <c r="AP79" i="1"/>
  <c r="AP61" i="1"/>
  <c r="AP51" i="1"/>
  <c r="AS49" i="1"/>
  <c r="AP45" i="1"/>
  <c r="AP47" i="1"/>
  <c r="AP31" i="1"/>
  <c r="AP27" i="1"/>
  <c r="AP29" i="1"/>
  <c r="AS25" i="1"/>
  <c r="AP75" i="1"/>
  <c r="AP77" i="1"/>
  <c r="AS73" i="1"/>
  <c r="AP67" i="1"/>
  <c r="AS69" i="1"/>
  <c r="AS65" i="1"/>
  <c r="AS55" i="1"/>
  <c r="AS59" i="1"/>
  <c r="AP33" i="1"/>
  <c r="AS35" i="1"/>
  <c r="AP23" i="1"/>
  <c r="AP19" i="1"/>
  <c r="AP15" i="1"/>
  <c r="AP11" i="1"/>
  <c r="AP55" i="1"/>
  <c r="AP7" i="1"/>
  <c r="AP5" i="1"/>
  <c r="AI80" i="1"/>
  <c r="AI79" i="1"/>
  <c r="AI74" i="1"/>
  <c r="AI73" i="1"/>
  <c r="AI72" i="1"/>
  <c r="AI71" i="1"/>
  <c r="AI70" i="1"/>
  <c r="AI69" i="1"/>
  <c r="AI68" i="1"/>
  <c r="AI67" i="1"/>
  <c r="AI66" i="1"/>
  <c r="AI65" i="1"/>
  <c r="AI60" i="1"/>
  <c r="AI59" i="1"/>
  <c r="AI58" i="1"/>
  <c r="AI57" i="1"/>
  <c r="AI56" i="1"/>
  <c r="AI55" i="1"/>
  <c r="AI54" i="1"/>
  <c r="AI53" i="1"/>
  <c r="AI48" i="1"/>
  <c r="AI47" i="1"/>
  <c r="AI46" i="1"/>
  <c r="AI45" i="1"/>
  <c r="AI44" i="1"/>
  <c r="AI43" i="1"/>
  <c r="AI40" i="1"/>
  <c r="AI39" i="1"/>
  <c r="AI38" i="1"/>
  <c r="AI37" i="1"/>
  <c r="AI36" i="1"/>
  <c r="AI35" i="1"/>
  <c r="AI34" i="1"/>
  <c r="AI33" i="1"/>
  <c r="AI30" i="1"/>
  <c r="AI29" i="1"/>
  <c r="AI28" i="1"/>
  <c r="AI27" i="1"/>
  <c r="AI26" i="1"/>
  <c r="AI25" i="1"/>
  <c r="AI10" i="1"/>
  <c r="AI9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7" i="1"/>
  <c r="AC9" i="1"/>
  <c r="AG53" i="1" l="1"/>
  <c r="AG65" i="1"/>
  <c r="AJ65" i="1"/>
  <c r="AG17" i="1"/>
  <c r="AG43" i="1"/>
  <c r="AG51" i="1"/>
  <c r="AG71" i="1"/>
  <c r="AJ39" i="1"/>
  <c r="AJ53" i="1"/>
  <c r="AJ73" i="1"/>
  <c r="AG55" i="1"/>
  <c r="AG75" i="1"/>
  <c r="AJ35" i="1"/>
  <c r="AG21" i="1"/>
  <c r="AG33" i="1"/>
  <c r="AG61" i="1"/>
  <c r="AJ37" i="1"/>
  <c r="AG13" i="1"/>
  <c r="AG15" i="1"/>
  <c r="AJ47" i="1"/>
  <c r="AJ59" i="1"/>
  <c r="AG37" i="1"/>
  <c r="AG25" i="1"/>
  <c r="AG39" i="1"/>
  <c r="AG47" i="1"/>
  <c r="AG73" i="1"/>
  <c r="AJ9" i="1"/>
  <c r="AJ69" i="1"/>
  <c r="AG23" i="1"/>
  <c r="AG41" i="1"/>
  <c r="AJ71" i="1"/>
  <c r="AG35" i="1"/>
  <c r="AG57" i="1"/>
  <c r="AG67" i="1"/>
  <c r="AJ43" i="1"/>
  <c r="AJ55" i="1"/>
  <c r="AG11" i="1"/>
  <c r="AG29" i="1"/>
  <c r="AG59" i="1"/>
  <c r="AG69" i="1"/>
  <c r="AG19" i="1"/>
  <c r="AG77" i="1"/>
  <c r="AJ67" i="1"/>
  <c r="AJ29" i="1"/>
  <c r="AJ25" i="1"/>
  <c r="AJ33" i="1"/>
  <c r="AJ57" i="1"/>
  <c r="AJ79" i="1"/>
  <c r="AG79" i="1"/>
  <c r="AG63" i="1"/>
  <c r="AG49" i="1"/>
  <c r="AJ45" i="1"/>
  <c r="AG45" i="1"/>
  <c r="AG31" i="1"/>
  <c r="AJ27" i="1"/>
  <c r="AG27" i="1"/>
  <c r="AF5" i="1" l="1"/>
  <c r="AF10" i="1"/>
  <c r="AF9" i="1"/>
  <c r="AF8" i="1"/>
  <c r="AF7" i="1"/>
  <c r="AF6" i="1"/>
  <c r="AG5" i="1" l="1"/>
  <c r="AG9" i="1"/>
  <c r="AG7" i="1"/>
  <c r="F51" i="1"/>
  <c r="O32" i="1"/>
  <c r="O31" i="1"/>
  <c r="F31" i="1"/>
  <c r="P31" i="1" l="1"/>
  <c r="F77" i="1"/>
  <c r="F75" i="1"/>
  <c r="F63" i="1"/>
  <c r="F61" i="1"/>
  <c r="F41" i="1"/>
  <c r="F23" i="1"/>
  <c r="F21" i="1"/>
  <c r="F19" i="1"/>
  <c r="F17" i="1"/>
  <c r="F15" i="1"/>
  <c r="F13" i="1"/>
  <c r="F11" i="1"/>
  <c r="R32" i="1" l="1"/>
  <c r="R31" i="1"/>
  <c r="R78" i="1"/>
  <c r="R77" i="1"/>
  <c r="R76" i="1"/>
  <c r="R75" i="1"/>
  <c r="O78" i="1"/>
  <c r="O77" i="1"/>
  <c r="O76" i="1"/>
  <c r="O75" i="1"/>
  <c r="L78" i="1"/>
  <c r="L77" i="1"/>
  <c r="L76" i="1"/>
  <c r="L75" i="1"/>
  <c r="J77" i="1"/>
  <c r="J75" i="1"/>
  <c r="R64" i="1"/>
  <c r="R63" i="1"/>
  <c r="R62" i="1"/>
  <c r="R61" i="1"/>
  <c r="O64" i="1"/>
  <c r="O63" i="1"/>
  <c r="O62" i="1"/>
  <c r="O61" i="1"/>
  <c r="L64" i="1"/>
  <c r="L63" i="1"/>
  <c r="L62" i="1"/>
  <c r="L61" i="1"/>
  <c r="J63" i="1"/>
  <c r="J61" i="1"/>
  <c r="R52" i="1"/>
  <c r="R51" i="1"/>
  <c r="O52" i="1"/>
  <c r="O51" i="1"/>
  <c r="L52" i="1"/>
  <c r="L51" i="1"/>
  <c r="J51" i="1"/>
  <c r="J41" i="1"/>
  <c r="U42" i="1"/>
  <c r="U41" i="1"/>
  <c r="R42" i="1"/>
  <c r="R41" i="1"/>
  <c r="O42" i="1"/>
  <c r="O41" i="1"/>
  <c r="L42" i="1"/>
  <c r="L41" i="1"/>
  <c r="J23" i="1"/>
  <c r="J21" i="1"/>
  <c r="J19" i="1"/>
  <c r="J17" i="1"/>
  <c r="J15" i="1"/>
  <c r="J13" i="1"/>
  <c r="J11" i="1"/>
  <c r="J31" i="1"/>
  <c r="L32" i="1"/>
  <c r="L31" i="1"/>
  <c r="U16" i="1"/>
  <c r="U15" i="1"/>
  <c r="U14" i="1"/>
  <c r="U13" i="1"/>
  <c r="U12" i="1"/>
  <c r="U11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S75" i="1" l="1"/>
  <c r="P77" i="1"/>
  <c r="P15" i="1"/>
  <c r="S61" i="1"/>
  <c r="M77" i="1"/>
  <c r="S77" i="1"/>
  <c r="P75" i="1"/>
  <c r="S31" i="1"/>
  <c r="P51" i="1"/>
  <c r="M63" i="1"/>
  <c r="P19" i="1"/>
  <c r="M75" i="1"/>
  <c r="M17" i="1"/>
  <c r="M21" i="1"/>
  <c r="S51" i="1"/>
  <c r="P63" i="1"/>
  <c r="S63" i="1"/>
  <c r="M61" i="1"/>
  <c r="P13" i="1"/>
  <c r="P21" i="1"/>
  <c r="S21" i="1"/>
  <c r="V13" i="1"/>
  <c r="P61" i="1"/>
  <c r="M31" i="1"/>
  <c r="P41" i="1"/>
  <c r="V41" i="1"/>
  <c r="M51" i="1"/>
  <c r="M41" i="1"/>
  <c r="V15" i="1"/>
  <c r="S17" i="1"/>
  <c r="M13" i="1"/>
  <c r="S15" i="1"/>
  <c r="S19" i="1"/>
  <c r="M15" i="1"/>
  <c r="M19" i="1"/>
  <c r="P17" i="1"/>
  <c r="S13" i="1"/>
  <c r="S41" i="1"/>
  <c r="M23" i="1"/>
  <c r="P23" i="1"/>
  <c r="S23" i="1"/>
  <c r="M11" i="1"/>
  <c r="P11" i="1"/>
  <c r="S11" i="1"/>
  <c r="V11" i="1"/>
  <c r="F45" i="1"/>
  <c r="Z46" i="1" l="1"/>
  <c r="Z45" i="1"/>
  <c r="X46" i="1"/>
  <c r="X45" i="1"/>
  <c r="U46" i="1"/>
  <c r="U45" i="1"/>
  <c r="R46" i="1"/>
  <c r="R45" i="1"/>
  <c r="O46" i="1"/>
  <c r="O45" i="1"/>
  <c r="L46" i="1"/>
  <c r="L45" i="1"/>
  <c r="J45" i="1"/>
  <c r="M45" i="1" l="1"/>
  <c r="P45" i="1"/>
  <c r="S45" i="1"/>
  <c r="Y45" i="1"/>
  <c r="V45" i="1"/>
  <c r="AA45" i="1"/>
  <c r="Z50" i="1"/>
  <c r="Z49" i="1"/>
  <c r="X50" i="1"/>
  <c r="X49" i="1"/>
  <c r="Z30" i="1"/>
  <c r="Z29" i="1"/>
  <c r="X30" i="1"/>
  <c r="X29" i="1"/>
  <c r="Y49" i="1" l="1"/>
  <c r="AA29" i="1"/>
  <c r="AA49" i="1"/>
  <c r="Z60" i="1"/>
  <c r="Z59" i="1"/>
  <c r="X60" i="1"/>
  <c r="X59" i="1"/>
  <c r="AA59" i="1" l="1"/>
  <c r="Y59" i="1"/>
  <c r="Z80" i="1" l="1"/>
  <c r="Z79" i="1"/>
  <c r="Z74" i="1"/>
  <c r="Z73" i="1"/>
  <c r="Z72" i="1"/>
  <c r="Z71" i="1"/>
  <c r="Z70" i="1"/>
  <c r="Z69" i="1"/>
  <c r="Z68" i="1"/>
  <c r="Z67" i="1"/>
  <c r="Z66" i="1"/>
  <c r="Z65" i="1"/>
  <c r="Z58" i="1"/>
  <c r="Z57" i="1"/>
  <c r="Z56" i="1"/>
  <c r="Z55" i="1"/>
  <c r="Z54" i="1"/>
  <c r="Z53" i="1"/>
  <c r="Z48" i="1"/>
  <c r="Z47" i="1"/>
  <c r="Z44" i="1"/>
  <c r="Z43" i="1"/>
  <c r="Z40" i="1"/>
  <c r="Z39" i="1"/>
  <c r="Z38" i="1"/>
  <c r="Z37" i="1"/>
  <c r="Z36" i="1"/>
  <c r="Z35" i="1"/>
  <c r="Z34" i="1"/>
  <c r="Z33" i="1"/>
  <c r="Z28" i="1"/>
  <c r="Z27" i="1"/>
  <c r="Z26" i="1"/>
  <c r="Z25" i="1"/>
  <c r="Z10" i="1"/>
  <c r="Z9" i="1"/>
  <c r="Z8" i="1"/>
  <c r="Z7" i="1"/>
  <c r="Z6" i="1"/>
  <c r="Z5" i="1"/>
  <c r="AC5" i="1"/>
  <c r="AA47" i="1" l="1"/>
  <c r="AA73" i="1"/>
  <c r="F73" i="1"/>
  <c r="F59" i="1"/>
  <c r="F49" i="1"/>
  <c r="F47" i="1"/>
  <c r="F29" i="1"/>
  <c r="X74" i="1" l="1"/>
  <c r="U74" i="1"/>
  <c r="R74" i="1"/>
  <c r="O74" i="1"/>
  <c r="L74" i="1"/>
  <c r="X73" i="1"/>
  <c r="U73" i="1"/>
  <c r="R73" i="1"/>
  <c r="O73" i="1"/>
  <c r="L73" i="1"/>
  <c r="J73" i="1"/>
  <c r="F79" i="1"/>
  <c r="J79" i="1"/>
  <c r="L79" i="1"/>
  <c r="O79" i="1"/>
  <c r="R79" i="1"/>
  <c r="U79" i="1"/>
  <c r="X79" i="1"/>
  <c r="L80" i="1"/>
  <c r="O80" i="1"/>
  <c r="R80" i="1"/>
  <c r="U80" i="1"/>
  <c r="X80" i="1"/>
  <c r="U60" i="1"/>
  <c r="R60" i="1"/>
  <c r="O60" i="1"/>
  <c r="L60" i="1"/>
  <c r="U59" i="1"/>
  <c r="R59" i="1"/>
  <c r="O59" i="1"/>
  <c r="L59" i="1"/>
  <c r="J59" i="1"/>
  <c r="U50" i="1"/>
  <c r="R50" i="1"/>
  <c r="O50" i="1"/>
  <c r="L50" i="1"/>
  <c r="U49" i="1"/>
  <c r="R49" i="1"/>
  <c r="O49" i="1"/>
  <c r="L49" i="1"/>
  <c r="J49" i="1"/>
  <c r="X48" i="1"/>
  <c r="X47" i="1"/>
  <c r="U48" i="1"/>
  <c r="U47" i="1"/>
  <c r="R48" i="1"/>
  <c r="O48" i="1"/>
  <c r="L48" i="1"/>
  <c r="R47" i="1"/>
  <c r="O47" i="1"/>
  <c r="L47" i="1"/>
  <c r="J47" i="1"/>
  <c r="U30" i="1"/>
  <c r="R30" i="1"/>
  <c r="O30" i="1"/>
  <c r="L30" i="1"/>
  <c r="U29" i="1"/>
  <c r="R29" i="1"/>
  <c r="O29" i="1"/>
  <c r="L29" i="1"/>
  <c r="J29" i="1"/>
  <c r="X72" i="1"/>
  <c r="X71" i="1"/>
  <c r="X70" i="1"/>
  <c r="X69" i="1"/>
  <c r="X68" i="1"/>
  <c r="X67" i="1"/>
  <c r="X66" i="1"/>
  <c r="X65" i="1"/>
  <c r="X58" i="1"/>
  <c r="X57" i="1"/>
  <c r="X56" i="1"/>
  <c r="X55" i="1"/>
  <c r="X54" i="1"/>
  <c r="X53" i="1"/>
  <c r="X44" i="1"/>
  <c r="X43" i="1"/>
  <c r="X40" i="1"/>
  <c r="X39" i="1"/>
  <c r="X38" i="1"/>
  <c r="X37" i="1"/>
  <c r="X36" i="1"/>
  <c r="X35" i="1"/>
  <c r="X34" i="1"/>
  <c r="X33" i="1"/>
  <c r="X28" i="1"/>
  <c r="X27" i="1"/>
  <c r="X26" i="1"/>
  <c r="X25" i="1"/>
  <c r="X10" i="1"/>
  <c r="X9" i="1"/>
  <c r="X8" i="1"/>
  <c r="X7" i="1"/>
  <c r="X6" i="1"/>
  <c r="P49" i="1" l="1"/>
  <c r="S49" i="1"/>
  <c r="P73" i="1"/>
  <c r="P29" i="1"/>
  <c r="M49" i="1"/>
  <c r="Y47" i="1"/>
  <c r="Y79" i="1"/>
  <c r="AA79" i="1" s="1"/>
  <c r="M79" i="1"/>
  <c r="P79" i="1"/>
  <c r="P47" i="1"/>
  <c r="V79" i="1"/>
  <c r="S79" i="1"/>
  <c r="Y73" i="1"/>
  <c r="S73" i="1"/>
  <c r="V73" i="1"/>
  <c r="M73" i="1"/>
  <c r="S47" i="1"/>
  <c r="M47" i="1"/>
  <c r="S59" i="1"/>
  <c r="V59" i="1"/>
  <c r="M59" i="1"/>
  <c r="V47" i="1"/>
  <c r="V49" i="1"/>
  <c r="S29" i="1"/>
  <c r="V29" i="1"/>
  <c r="M29" i="1"/>
  <c r="X5" i="1" l="1"/>
  <c r="R72" i="1"/>
  <c r="R71" i="1"/>
  <c r="R70" i="1"/>
  <c r="R69" i="1"/>
  <c r="R68" i="1"/>
  <c r="R67" i="1"/>
  <c r="R66" i="1"/>
  <c r="R65" i="1"/>
  <c r="R58" i="1"/>
  <c r="R57" i="1"/>
  <c r="R56" i="1"/>
  <c r="R55" i="1"/>
  <c r="R54" i="1"/>
  <c r="R53" i="1"/>
  <c r="R44" i="1"/>
  <c r="R43" i="1"/>
  <c r="R40" i="1"/>
  <c r="R39" i="1"/>
  <c r="R38" i="1"/>
  <c r="R37" i="1"/>
  <c r="R36" i="1"/>
  <c r="R35" i="1"/>
  <c r="R34" i="1"/>
  <c r="R33" i="1"/>
  <c r="R28" i="1"/>
  <c r="R27" i="1"/>
  <c r="R26" i="1"/>
  <c r="R25" i="1"/>
  <c r="R10" i="1"/>
  <c r="R9" i="1"/>
  <c r="R8" i="1"/>
  <c r="R7" i="1"/>
  <c r="R6" i="1"/>
  <c r="R5" i="1"/>
  <c r="O72" i="1"/>
  <c r="O71" i="1"/>
  <c r="O70" i="1"/>
  <c r="O69" i="1"/>
  <c r="O68" i="1"/>
  <c r="O67" i="1"/>
  <c r="O66" i="1"/>
  <c r="O65" i="1"/>
  <c r="O58" i="1"/>
  <c r="O57" i="1"/>
  <c r="O56" i="1"/>
  <c r="O55" i="1"/>
  <c r="O54" i="1"/>
  <c r="O53" i="1"/>
  <c r="O44" i="1"/>
  <c r="O43" i="1"/>
  <c r="O40" i="1"/>
  <c r="O39" i="1"/>
  <c r="O38" i="1"/>
  <c r="O37" i="1"/>
  <c r="O36" i="1"/>
  <c r="O35" i="1"/>
  <c r="O34" i="1"/>
  <c r="O33" i="1"/>
  <c r="O28" i="1"/>
  <c r="O27" i="1"/>
  <c r="O26" i="1"/>
  <c r="O25" i="1"/>
  <c r="O10" i="1"/>
  <c r="O9" i="1"/>
  <c r="O8" i="1"/>
  <c r="O7" i="1"/>
  <c r="O6" i="1"/>
  <c r="O5" i="1"/>
  <c r="S71" i="1" l="1"/>
  <c r="P71" i="1"/>
  <c r="S69" i="1"/>
  <c r="P69" i="1"/>
  <c r="S67" i="1"/>
  <c r="P67" i="1"/>
  <c r="S65" i="1"/>
  <c r="P65" i="1"/>
  <c r="S57" i="1"/>
  <c r="P57" i="1"/>
  <c r="S55" i="1"/>
  <c r="P55" i="1"/>
  <c r="S53" i="1"/>
  <c r="S43" i="1"/>
  <c r="P43" i="1"/>
  <c r="S39" i="1"/>
  <c r="S37" i="1"/>
  <c r="P37" i="1"/>
  <c r="S35" i="1"/>
  <c r="P35" i="1"/>
  <c r="S33" i="1"/>
  <c r="P33" i="1"/>
  <c r="S27" i="1"/>
  <c r="P27" i="1"/>
  <c r="S25" i="1"/>
  <c r="P25" i="1"/>
  <c r="S9" i="1"/>
  <c r="P9" i="1"/>
  <c r="S7" i="1"/>
  <c r="P7" i="1"/>
  <c r="S5" i="1"/>
  <c r="P5" i="1"/>
  <c r="P53" i="1" l="1"/>
  <c r="L72" i="1"/>
  <c r="L71" i="1"/>
  <c r="L70" i="1"/>
  <c r="L69" i="1"/>
  <c r="L68" i="1"/>
  <c r="L67" i="1"/>
  <c r="L66" i="1"/>
  <c r="L65" i="1"/>
  <c r="L58" i="1"/>
  <c r="L57" i="1"/>
  <c r="L56" i="1"/>
  <c r="L55" i="1"/>
  <c r="L53" i="1"/>
  <c r="L54" i="1"/>
  <c r="L44" i="1"/>
  <c r="L43" i="1"/>
  <c r="L40" i="1"/>
  <c r="L39" i="1"/>
  <c r="L38" i="1"/>
  <c r="L37" i="1"/>
  <c r="L36" i="1"/>
  <c r="L35" i="1"/>
  <c r="L34" i="1"/>
  <c r="L33" i="1"/>
  <c r="L28" i="1"/>
  <c r="L27" i="1"/>
  <c r="L26" i="1"/>
  <c r="L25" i="1"/>
  <c r="L10" i="1"/>
  <c r="L9" i="1"/>
  <c r="L5" i="1"/>
  <c r="L6" i="1"/>
  <c r="L7" i="1"/>
  <c r="L8" i="1"/>
  <c r="U72" i="1"/>
  <c r="U71" i="1"/>
  <c r="U70" i="1"/>
  <c r="U69" i="1"/>
  <c r="U68" i="1"/>
  <c r="U67" i="1"/>
  <c r="U66" i="1"/>
  <c r="U65" i="1"/>
  <c r="U58" i="1"/>
  <c r="U57" i="1"/>
  <c r="U56" i="1"/>
  <c r="U55" i="1"/>
  <c r="U54" i="1"/>
  <c r="U53" i="1"/>
  <c r="U44" i="1"/>
  <c r="U43" i="1"/>
  <c r="U40" i="1"/>
  <c r="U39" i="1"/>
  <c r="U38" i="1"/>
  <c r="U37" i="1"/>
  <c r="U36" i="1"/>
  <c r="U35" i="1"/>
  <c r="U34" i="1"/>
  <c r="U33" i="1"/>
  <c r="U28" i="1"/>
  <c r="U27" i="1"/>
  <c r="U26" i="1"/>
  <c r="U25" i="1"/>
  <c r="U10" i="1"/>
  <c r="U9" i="1"/>
  <c r="U8" i="1"/>
  <c r="U7" i="1"/>
  <c r="U6" i="1"/>
  <c r="U5" i="1"/>
  <c r="J5" i="1"/>
  <c r="J7" i="1"/>
  <c r="J9" i="1"/>
  <c r="J25" i="1"/>
  <c r="J27" i="1"/>
  <c r="J33" i="1"/>
  <c r="J35" i="1"/>
  <c r="J37" i="1"/>
  <c r="J39" i="1"/>
  <c r="J43" i="1"/>
  <c r="J53" i="1"/>
  <c r="J55" i="1"/>
  <c r="J57" i="1"/>
  <c r="J65" i="1"/>
  <c r="J67" i="1"/>
  <c r="J69" i="1"/>
  <c r="J71" i="1"/>
  <c r="BE6" i="1"/>
  <c r="BE7" i="1"/>
  <c r="BE8" i="1"/>
  <c r="BE9" i="1"/>
  <c r="BE10" i="1"/>
  <c r="AR5" i="1"/>
  <c r="AI8" i="1"/>
  <c r="AI7" i="1"/>
  <c r="AI6" i="1"/>
  <c r="AI5" i="1"/>
  <c r="AL7" i="1"/>
  <c r="AL5" i="1"/>
  <c r="F65" i="1"/>
  <c r="F67" i="1"/>
  <c r="F69" i="1"/>
  <c r="F71" i="1"/>
  <c r="F53" i="1"/>
  <c r="F55" i="1"/>
  <c r="F57" i="1"/>
  <c r="F5" i="1"/>
  <c r="F7" i="1"/>
  <c r="F9" i="1"/>
  <c r="F25" i="1"/>
  <c r="F27" i="1"/>
  <c r="F33" i="1"/>
  <c r="F35" i="1"/>
  <c r="F37" i="1"/>
  <c r="F39" i="1"/>
  <c r="F43" i="1"/>
  <c r="Y71" i="1"/>
  <c r="AA71" i="1" s="1"/>
  <c r="Y39" i="1"/>
  <c r="AA39" i="1" s="1"/>
  <c r="Y57" i="1"/>
  <c r="AA57" i="1" s="1"/>
  <c r="Y55" i="1"/>
  <c r="AA55" i="1" s="1"/>
  <c r="Y53" i="1"/>
  <c r="Y65" i="1"/>
  <c r="AA65" i="1" s="1"/>
  <c r="Y67" i="1"/>
  <c r="AA67" i="1" s="1"/>
  <c r="Y69" i="1"/>
  <c r="AA69" i="1" s="1"/>
  <c r="Y27" i="1"/>
  <c r="AA27" i="1" s="1"/>
  <c r="Y37" i="1"/>
  <c r="AA37" i="1" s="1"/>
  <c r="Y43" i="1"/>
  <c r="AA43" i="1" s="1"/>
  <c r="Y35" i="1"/>
  <c r="AA35" i="1" s="1"/>
  <c r="Y33" i="1"/>
  <c r="AA33" i="1" s="1"/>
  <c r="Y25" i="1"/>
  <c r="AA25" i="1" s="1"/>
  <c r="Y9" i="1"/>
  <c r="Y7" i="1"/>
  <c r="AA7" i="1" l="1"/>
  <c r="AA9" i="1"/>
  <c r="BE5" i="1"/>
  <c r="BF5" i="1" s="1"/>
  <c r="BF9" i="1"/>
  <c r="BF7" i="1"/>
  <c r="M9" i="1"/>
  <c r="V7" i="1"/>
  <c r="V33" i="1"/>
  <c r="V37" i="1"/>
  <c r="AA53" i="1"/>
  <c r="V39" i="1"/>
  <c r="V65" i="1"/>
  <c r="AJ7" i="1"/>
  <c r="M67" i="1"/>
  <c r="M27" i="1"/>
  <c r="BH8" i="1"/>
  <c r="BH9" i="1"/>
  <c r="BH5" i="1"/>
  <c r="AS7" i="1"/>
  <c r="BH10" i="1"/>
  <c r="AS5" i="1"/>
  <c r="M7" i="1"/>
  <c r="M35" i="1"/>
  <c r="M39" i="1"/>
  <c r="M57" i="1"/>
  <c r="V69" i="1"/>
  <c r="M33" i="1"/>
  <c r="M53" i="1"/>
  <c r="AJ5" i="1"/>
  <c r="M55" i="1"/>
  <c r="M69" i="1"/>
  <c r="M25" i="1"/>
  <c r="M43" i="1"/>
  <c r="M71" i="1"/>
  <c r="V57" i="1"/>
  <c r="V35" i="1"/>
  <c r="V27" i="1"/>
  <c r="V25" i="1"/>
  <c r="V43" i="1"/>
  <c r="V67" i="1"/>
  <c r="V71" i="1"/>
  <c r="BH7" i="1"/>
  <c r="M37" i="1"/>
  <c r="BH6" i="1"/>
  <c r="V9" i="1"/>
  <c r="V53" i="1"/>
  <c r="M5" i="1"/>
  <c r="M65" i="1"/>
  <c r="V55" i="1"/>
  <c r="V5" i="1"/>
  <c r="BI7" i="1" l="1"/>
  <c r="BI9" i="1"/>
  <c r="BI5" i="1"/>
  <c r="Y5" i="1" l="1"/>
  <c r="AA5" i="1" l="1"/>
</calcChain>
</file>

<file path=xl/sharedStrings.xml><?xml version="1.0" encoding="utf-8"?>
<sst xmlns="http://schemas.openxmlformats.org/spreadsheetml/2006/main" count="395" uniqueCount="57">
  <si>
    <t>M</t>
    <phoneticPr fontId="2"/>
  </si>
  <si>
    <t>F</t>
    <phoneticPr fontId="2"/>
  </si>
  <si>
    <t>F</t>
    <phoneticPr fontId="1"/>
  </si>
  <si>
    <t>F</t>
  </si>
  <si>
    <t>Age</t>
    <phoneticPr fontId="1"/>
  </si>
  <si>
    <t>Spherical equivalent refractive error (D)</t>
    <phoneticPr fontId="2"/>
  </si>
  <si>
    <t xml:space="preserve">Registration date </t>
    <phoneticPr fontId="1"/>
  </si>
  <si>
    <t>Axial length (mm)</t>
    <phoneticPr fontId="1"/>
  </si>
  <si>
    <t>Eye</t>
    <phoneticPr fontId="1"/>
  </si>
  <si>
    <t>R</t>
  </si>
  <si>
    <t>L</t>
  </si>
  <si>
    <t>0 month</t>
  </si>
  <si>
    <t>0 month</t>
    <phoneticPr fontId="2"/>
  </si>
  <si>
    <t>3 months</t>
    <phoneticPr fontId="1"/>
  </si>
  <si>
    <t>3 months</t>
    <phoneticPr fontId="1"/>
  </si>
  <si>
    <t>3-0 months</t>
    <phoneticPr fontId="2"/>
  </si>
  <si>
    <t>15 months</t>
    <phoneticPr fontId="1"/>
  </si>
  <si>
    <t>15-3 months</t>
    <phoneticPr fontId="1"/>
  </si>
  <si>
    <t>9 months</t>
    <phoneticPr fontId="1"/>
  </si>
  <si>
    <t>9-3 months</t>
    <phoneticPr fontId="1"/>
  </si>
  <si>
    <t>21 months</t>
    <phoneticPr fontId="1"/>
  </si>
  <si>
    <t>21-3 months</t>
    <phoneticPr fontId="1"/>
  </si>
  <si>
    <t>27 months</t>
    <phoneticPr fontId="1"/>
  </si>
  <si>
    <t>27-3 months</t>
  </si>
  <si>
    <t>27-3 months</t>
    <phoneticPr fontId="1"/>
  </si>
  <si>
    <t>27-15 months</t>
    <phoneticPr fontId="1"/>
  </si>
  <si>
    <t>Study ID</t>
    <phoneticPr fontId="2"/>
  </si>
  <si>
    <t>Institution</t>
    <phoneticPr fontId="2"/>
  </si>
  <si>
    <t>Konno</t>
  </si>
  <si>
    <t>Hamada</t>
  </si>
  <si>
    <t>Corneal endothelial cell density (/mm2)</t>
    <phoneticPr fontId="1"/>
  </si>
  <si>
    <t>15 months</t>
    <phoneticPr fontId="1"/>
  </si>
  <si>
    <t>27 months</t>
    <phoneticPr fontId="1"/>
  </si>
  <si>
    <t>Intraocular pressure (mmHg)</t>
    <phoneticPr fontId="1"/>
  </si>
  <si>
    <t>3 months</t>
    <phoneticPr fontId="2"/>
  </si>
  <si>
    <t>Sex</t>
    <phoneticPr fontId="1"/>
  </si>
  <si>
    <t>0 month</t>
    <phoneticPr fontId="2"/>
  </si>
  <si>
    <t>Uncorrected distant visual acuity (logMAR)</t>
    <phoneticPr fontId="2"/>
  </si>
  <si>
    <t>3 months</t>
    <phoneticPr fontId="2"/>
  </si>
  <si>
    <t>15 month</t>
    <phoneticPr fontId="2"/>
  </si>
  <si>
    <t>27 months</t>
    <phoneticPr fontId="2"/>
  </si>
  <si>
    <t>3 months</t>
    <phoneticPr fontId="2"/>
  </si>
  <si>
    <t>15 months</t>
    <phoneticPr fontId="2"/>
  </si>
  <si>
    <t>27 months</t>
    <phoneticPr fontId="2"/>
  </si>
  <si>
    <t>Uncorrected near visual acuity (logMAR)</t>
    <phoneticPr fontId="2"/>
  </si>
  <si>
    <t>Orthokeratology Monotherapy Group</t>
  </si>
  <si>
    <t>R</t>
    <phoneticPr fontId="1"/>
  </si>
  <si>
    <t>L</t>
    <phoneticPr fontId="1"/>
  </si>
  <si>
    <t>15 months</t>
    <phoneticPr fontId="2"/>
  </si>
  <si>
    <t>27 months</t>
    <phoneticPr fontId="2"/>
  </si>
  <si>
    <t>Uncorrected distant visual acuity (logMAR)</t>
    <phoneticPr fontId="1"/>
  </si>
  <si>
    <t>Uncorrected near visual acuity (logMAR)</t>
    <phoneticPr fontId="1"/>
  </si>
  <si>
    <t>Orthokeratology and 0.01% Atropine Combination Group</t>
    <phoneticPr fontId="2"/>
  </si>
  <si>
    <t>Compliance rate</t>
    <phoneticPr fontId="2"/>
  </si>
  <si>
    <r>
      <t>OK</t>
    </r>
    <r>
      <rPr>
        <b/>
        <sz val="12"/>
        <color theme="1"/>
        <rFont val="ＭＳ Ｐ明朝"/>
        <family val="1"/>
        <charset val="128"/>
      </rPr>
      <t>（</t>
    </r>
    <r>
      <rPr>
        <b/>
        <sz val="12"/>
        <color theme="1"/>
        <rFont val="Arial"/>
        <family val="2"/>
      </rPr>
      <t>%</t>
    </r>
    <r>
      <rPr>
        <b/>
        <sz val="12"/>
        <color theme="1"/>
        <rFont val="ＭＳ Ｐ明朝"/>
        <family val="1"/>
        <charset val="128"/>
      </rPr>
      <t>）</t>
    </r>
    <phoneticPr fontId="2"/>
  </si>
  <si>
    <r>
      <t>Atropine</t>
    </r>
    <r>
      <rPr>
        <b/>
        <sz val="12"/>
        <color theme="1"/>
        <rFont val="ＭＳ Ｐ明朝"/>
        <family val="1"/>
        <charset val="128"/>
      </rPr>
      <t>（</t>
    </r>
    <r>
      <rPr>
        <b/>
        <sz val="12"/>
        <color theme="1"/>
        <rFont val="Arial"/>
        <family val="2"/>
      </rPr>
      <t>%</t>
    </r>
    <r>
      <rPr>
        <b/>
        <sz val="12"/>
        <color theme="1"/>
        <rFont val="ＭＳ Ｐ明朝"/>
        <family val="1"/>
        <charset val="128"/>
      </rPr>
      <t>）</t>
    </r>
    <phoneticPr fontId="2"/>
  </si>
  <si>
    <t>Dataset for: Efficacy of combined orthokeratology and 0.01% atropine solution for slowing axial elongation in children with myopia: a 2-year randomized trial. Contributors: Nozomi Kinoshita*, Yasuhiro Konno, Naoki Hamada, Yoshinobu Kanda, Machiko Shimmura-Tomita, Toshikatsu Kaburaki &amp; Akihiro Kakehashi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</si>
</sst>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yyyy/m/d;@"/>
    <numFmt numFmtId="177" formatCode="0.00_ "/>
    <numFmt numFmtId="178" formatCode="0.0_ "/>
    <numFmt numFmtId="179" formatCode="0.000_ "/>
    <numFmt numFmtId="181" formatCode="dd/mm/yyyy;@"/>
  </numFmts>
  <fonts count="12">
    <font>
      <sz val="11"/>
      <color theme="1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Yu Gothic"/>
      <family val="2"/>
      <charset val="128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ＭＳ Ｐ明朝"/>
      <family val="1"/>
      <charset val="128"/>
    </font>
    <font>
      <sz val="12"/>
      <color indexed="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296">
    <xf numFmtId="0" fontId="0" fillId="0" borderId="0" xfId="0">
      <alignment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0" borderId="48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176" fontId="8" fillId="0" borderId="52" xfId="0" applyNumberFormat="1" applyFont="1" applyFill="1" applyBorder="1" applyAlignment="1">
      <alignment horizontal="center" vertical="center" wrapText="1"/>
    </xf>
    <xf numFmtId="176" fontId="8" fillId="0" borderId="25" xfId="0" applyNumberFormat="1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176" fontId="8" fillId="0" borderId="48" xfId="0" applyNumberFormat="1" applyFont="1" applyFill="1" applyBorder="1" applyAlignment="1">
      <alignment horizontal="center" vertical="center" wrapText="1"/>
    </xf>
    <xf numFmtId="176" fontId="8" fillId="0" borderId="26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56" fontId="6" fillId="2" borderId="16" xfId="0" applyNumberFormat="1" applyFont="1" applyFill="1" applyBorder="1" applyAlignment="1">
      <alignment horizontal="center" vertical="center"/>
    </xf>
    <xf numFmtId="56" fontId="6" fillId="2" borderId="18" xfId="0" applyNumberFormat="1" applyFont="1" applyFill="1" applyBorder="1" applyAlignment="1">
      <alignment horizontal="center" vertical="center"/>
    </xf>
    <xf numFmtId="56" fontId="6" fillId="0" borderId="16" xfId="0" applyNumberFormat="1" applyFont="1" applyFill="1" applyBorder="1" applyAlignment="1">
      <alignment horizontal="center" vertical="center"/>
    </xf>
    <xf numFmtId="56" fontId="6" fillId="0" borderId="18" xfId="0" applyNumberFormat="1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46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2" borderId="64" xfId="0" applyNumberFormat="1" applyFont="1" applyFill="1" applyBorder="1" applyAlignment="1">
      <alignment horizontal="center" vertical="center" wrapText="1"/>
    </xf>
    <xf numFmtId="0" fontId="7" fillId="2" borderId="29" xfId="0" applyNumberFormat="1" applyFont="1" applyFill="1" applyBorder="1" applyAlignment="1">
      <alignment horizontal="center" vertical="center"/>
    </xf>
    <xf numFmtId="177" fontId="7" fillId="0" borderId="27" xfId="0" applyNumberFormat="1" applyFont="1" applyFill="1" applyBorder="1" applyAlignment="1">
      <alignment horizontal="center" vertical="center" wrapText="1"/>
    </xf>
    <xf numFmtId="0" fontId="10" fillId="2" borderId="52" xfId="0" applyFont="1" applyFill="1" applyBorder="1" applyAlignment="1">
      <alignment horizontal="center" vertical="center" wrapText="1"/>
    </xf>
    <xf numFmtId="179" fontId="7" fillId="0" borderId="54" xfId="0" applyNumberFormat="1" applyFont="1" applyFill="1" applyBorder="1" applyAlignment="1">
      <alignment horizontal="center" vertical="center" wrapText="1"/>
    </xf>
    <xf numFmtId="0" fontId="7" fillId="0" borderId="50" xfId="0" applyFont="1" applyFill="1" applyBorder="1" applyAlignment="1">
      <alignment horizontal="center" vertical="center"/>
    </xf>
    <xf numFmtId="177" fontId="7" fillId="2" borderId="39" xfId="0" applyNumberFormat="1" applyFont="1" applyFill="1" applyBorder="1" applyAlignment="1">
      <alignment horizontal="center" vertical="center" wrapText="1"/>
    </xf>
    <xf numFmtId="177" fontId="7" fillId="2" borderId="10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177" fontId="7" fillId="2" borderId="29" xfId="0" applyNumberFormat="1" applyFont="1" applyFill="1" applyBorder="1" applyAlignment="1">
      <alignment horizontal="center" vertical="center" wrapText="1"/>
    </xf>
    <xf numFmtId="177" fontId="7" fillId="0" borderId="51" xfId="0" applyNumberFormat="1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/>
    </xf>
    <xf numFmtId="177" fontId="7" fillId="2" borderId="51" xfId="0" applyNumberFormat="1" applyFont="1" applyFill="1" applyBorder="1" applyAlignment="1">
      <alignment horizontal="center" vertical="center" wrapText="1"/>
    </xf>
    <xf numFmtId="177" fontId="7" fillId="0" borderId="51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45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178" fontId="7" fillId="0" borderId="54" xfId="0" applyNumberFormat="1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/>
    </xf>
    <xf numFmtId="178" fontId="7" fillId="0" borderId="29" xfId="0" applyNumberFormat="1" applyFont="1" applyBorder="1" applyAlignment="1">
      <alignment horizontal="center" vertical="center" wrapText="1"/>
    </xf>
    <xf numFmtId="178" fontId="7" fillId="0" borderId="10" xfId="0" applyNumberFormat="1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 wrapText="1"/>
    </xf>
    <xf numFmtId="0" fontId="7" fillId="0" borderId="54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6" fillId="2" borderId="12" xfId="0" applyNumberFormat="1" applyFont="1" applyFill="1" applyBorder="1" applyAlignment="1">
      <alignment horizontal="center" vertical="center" wrapText="1"/>
    </xf>
    <xf numFmtId="0" fontId="7" fillId="2" borderId="41" xfId="0" applyNumberFormat="1" applyFont="1" applyFill="1" applyBorder="1" applyAlignment="1">
      <alignment horizontal="center" vertical="center"/>
    </xf>
    <xf numFmtId="177" fontId="7" fillId="0" borderId="34" xfId="0" applyNumberFormat="1" applyFont="1" applyFill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 wrapText="1"/>
    </xf>
    <xf numFmtId="179" fontId="7" fillId="0" borderId="53" xfId="0" applyNumberFormat="1" applyFont="1" applyFill="1" applyBorder="1" applyAlignment="1">
      <alignment horizontal="center" vertical="center" wrapText="1"/>
    </xf>
    <xf numFmtId="177" fontId="7" fillId="2" borderId="41" xfId="0" applyNumberFormat="1" applyFont="1" applyFill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178" fontId="7" fillId="0" borderId="53" xfId="0" applyNumberFormat="1" applyFont="1" applyFill="1" applyBorder="1" applyAlignment="1">
      <alignment horizontal="center" vertical="center" wrapText="1"/>
    </xf>
    <xf numFmtId="178" fontId="7" fillId="0" borderId="41" xfId="0" applyNumberFormat="1" applyFont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6" fillId="2" borderId="23" xfId="0" applyNumberFormat="1" applyFont="1" applyFill="1" applyBorder="1" applyAlignment="1">
      <alignment horizontal="center" vertical="center" wrapText="1"/>
    </xf>
    <xf numFmtId="177" fontId="7" fillId="0" borderId="33" xfId="0" applyNumberFormat="1" applyFont="1" applyFill="1" applyBorder="1" applyAlignment="1">
      <alignment horizontal="center" vertical="center" wrapText="1"/>
    </xf>
    <xf numFmtId="0" fontId="10" fillId="2" borderId="57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177" fontId="7" fillId="0" borderId="36" xfId="0" applyNumberFormat="1" applyFont="1" applyFill="1" applyBorder="1" applyAlignment="1">
      <alignment horizontal="center" vertical="center" wrapText="1"/>
    </xf>
    <xf numFmtId="177" fontId="7" fillId="0" borderId="37" xfId="0" applyNumberFormat="1" applyFont="1" applyFill="1" applyBorder="1" applyAlignment="1">
      <alignment horizontal="center" vertical="center" wrapText="1"/>
    </xf>
    <xf numFmtId="177" fontId="7" fillId="2" borderId="9" xfId="0" applyNumberFormat="1" applyFont="1" applyFill="1" applyBorder="1" applyAlignment="1">
      <alignment horizontal="center" vertical="center" wrapText="1"/>
    </xf>
    <xf numFmtId="177" fontId="7" fillId="2" borderId="34" xfId="0" applyNumberFormat="1" applyFont="1" applyFill="1" applyBorder="1" applyAlignment="1">
      <alignment horizontal="center" vertical="center" wrapText="1"/>
    </xf>
    <xf numFmtId="177" fontId="10" fillId="0" borderId="0" xfId="0" applyNumberFormat="1" applyFont="1" applyFill="1" applyBorder="1" applyAlignment="1">
      <alignment horizontal="center" vertical="center" wrapText="1"/>
    </xf>
    <xf numFmtId="0" fontId="10" fillId="2" borderId="60" xfId="0" applyFont="1" applyFill="1" applyBorder="1" applyAlignment="1">
      <alignment horizontal="center" vertical="center" wrapText="1"/>
    </xf>
    <xf numFmtId="179" fontId="10" fillId="0" borderId="53" xfId="0" applyNumberFormat="1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178" fontId="10" fillId="0" borderId="53" xfId="0" applyNumberFormat="1" applyFont="1" applyFill="1" applyBorder="1" applyAlignment="1">
      <alignment horizontal="center" vertical="center" wrapText="1"/>
    </xf>
    <xf numFmtId="178" fontId="10" fillId="0" borderId="41" xfId="0" applyNumberFormat="1" applyFont="1" applyBorder="1" applyAlignment="1">
      <alignment horizontal="center" vertical="center" wrapText="1"/>
    </xf>
    <xf numFmtId="177" fontId="10" fillId="0" borderId="37" xfId="0" applyNumberFormat="1" applyFont="1" applyFill="1" applyBorder="1" applyAlignment="1">
      <alignment horizontal="center" vertical="center" wrapText="1"/>
    </xf>
    <xf numFmtId="0" fontId="10" fillId="2" borderId="3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 wrapText="1"/>
    </xf>
    <xf numFmtId="177" fontId="10" fillId="0" borderId="38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177" fontId="10" fillId="0" borderId="40" xfId="0" applyNumberFormat="1" applyFont="1" applyFill="1" applyBorder="1" applyAlignment="1">
      <alignment horizontal="center" vertical="center" wrapText="1"/>
    </xf>
    <xf numFmtId="177" fontId="10" fillId="2" borderId="41" xfId="0" applyNumberFormat="1" applyFont="1" applyFill="1" applyBorder="1" applyAlignment="1">
      <alignment horizontal="center" vertical="center" wrapText="1"/>
    </xf>
    <xf numFmtId="177" fontId="10" fillId="0" borderId="41" xfId="0" applyNumberFormat="1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177" fontId="10" fillId="2" borderId="34" xfId="0" applyNumberFormat="1" applyFont="1" applyFill="1" applyBorder="1" applyAlignment="1">
      <alignment horizontal="center" vertical="center" wrapText="1"/>
    </xf>
    <xf numFmtId="177" fontId="10" fillId="0" borderId="34" xfId="0" applyNumberFormat="1" applyFont="1" applyBorder="1" applyAlignment="1">
      <alignment horizontal="center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177" fontId="7" fillId="0" borderId="38" xfId="0" applyNumberFormat="1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177" fontId="7" fillId="0" borderId="40" xfId="0" applyNumberFormat="1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177" fontId="10" fillId="2" borderId="9" xfId="0" applyNumberFormat="1" applyFont="1" applyFill="1" applyBorder="1" applyAlignment="1">
      <alignment horizontal="center" vertical="center"/>
    </xf>
    <xf numFmtId="0" fontId="10" fillId="2" borderId="39" xfId="0" applyFont="1" applyFill="1" applyBorder="1" applyAlignment="1">
      <alignment horizontal="center" vertical="center" wrapText="1"/>
    </xf>
    <xf numFmtId="177" fontId="10" fillId="2" borderId="10" xfId="0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177" fontId="10" fillId="0" borderId="36" xfId="0" applyNumberFormat="1" applyFont="1" applyFill="1" applyBorder="1" applyAlignment="1">
      <alignment horizontal="center" vertical="center" wrapText="1"/>
    </xf>
    <xf numFmtId="177" fontId="7" fillId="2" borderId="40" xfId="0" applyNumberFormat="1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177" fontId="7" fillId="0" borderId="53" xfId="0" applyNumberFormat="1" applyFont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177" fontId="7" fillId="0" borderId="37" xfId="0" applyNumberFormat="1" applyFont="1" applyFill="1" applyBorder="1" applyAlignment="1">
      <alignment horizontal="center" vertical="center" wrapText="1"/>
    </xf>
    <xf numFmtId="177" fontId="7" fillId="0" borderId="41" xfId="0" applyNumberFormat="1" applyFont="1" applyFill="1" applyBorder="1" applyAlignment="1">
      <alignment horizontal="center" vertical="center" wrapText="1"/>
    </xf>
    <xf numFmtId="177" fontId="10" fillId="0" borderId="33" xfId="0" applyNumberFormat="1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6" fillId="2" borderId="58" xfId="0" applyNumberFormat="1" applyFont="1" applyFill="1" applyBorder="1" applyAlignment="1">
      <alignment horizontal="center" vertical="center" wrapText="1"/>
    </xf>
    <xf numFmtId="0" fontId="7" fillId="2" borderId="30" xfId="0" applyNumberFormat="1" applyFont="1" applyFill="1" applyBorder="1" applyAlignment="1">
      <alignment horizontal="center" vertical="center"/>
    </xf>
    <xf numFmtId="177" fontId="10" fillId="0" borderId="28" xfId="0" applyNumberFormat="1" applyFont="1" applyFill="1" applyBorder="1" applyAlignment="1">
      <alignment horizontal="center" vertical="center" wrapText="1"/>
    </xf>
    <xf numFmtId="0" fontId="10" fillId="2" borderId="48" xfId="0" applyFont="1" applyFill="1" applyBorder="1" applyAlignment="1">
      <alignment horizontal="center" vertical="center" wrapText="1"/>
    </xf>
    <xf numFmtId="179" fontId="10" fillId="0" borderId="13" xfId="0" applyNumberFormat="1" applyFont="1" applyFill="1" applyBorder="1" applyAlignment="1">
      <alignment horizontal="center" vertical="center" wrapText="1"/>
    </xf>
    <xf numFmtId="0" fontId="7" fillId="0" borderId="5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/>
    </xf>
    <xf numFmtId="177" fontId="7" fillId="0" borderId="47" xfId="0" applyNumberFormat="1" applyFont="1" applyFill="1" applyBorder="1" applyAlignment="1">
      <alignment horizontal="center" vertical="center" wrapText="1"/>
    </xf>
    <xf numFmtId="177" fontId="7" fillId="2" borderId="47" xfId="0" applyNumberFormat="1" applyFont="1" applyFill="1" applyBorder="1" applyAlignment="1">
      <alignment horizontal="center" vertical="center" wrapText="1"/>
    </xf>
    <xf numFmtId="177" fontId="7" fillId="0" borderId="1" xfId="0" applyNumberFormat="1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177" fontId="7" fillId="0" borderId="47" xfId="0" applyNumberFormat="1" applyFont="1" applyFill="1" applyBorder="1" applyAlignment="1">
      <alignment horizontal="center" vertical="center"/>
    </xf>
    <xf numFmtId="177" fontId="7" fillId="0" borderId="13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7" fillId="0" borderId="58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65" xfId="0" applyFont="1" applyFill="1" applyBorder="1" applyAlignment="1">
      <alignment horizontal="center" vertical="center"/>
    </xf>
    <xf numFmtId="178" fontId="10" fillId="0" borderId="13" xfId="0" applyNumberFormat="1" applyFont="1" applyFill="1" applyBorder="1" applyAlignment="1">
      <alignment horizontal="center" vertical="center" wrapText="1"/>
    </xf>
    <xf numFmtId="178" fontId="10" fillId="0" borderId="30" xfId="0" applyNumberFormat="1" applyFont="1" applyBorder="1" applyAlignment="1">
      <alignment horizontal="center" vertical="center" wrapText="1"/>
    </xf>
    <xf numFmtId="178" fontId="7" fillId="0" borderId="1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63" xfId="0" applyNumberFormat="1" applyFont="1" applyFill="1" applyBorder="1" applyAlignment="1">
      <alignment horizontal="center" vertical="center" wrapText="1"/>
    </xf>
    <xf numFmtId="0" fontId="7" fillId="2" borderId="34" xfId="0" applyNumberFormat="1" applyFont="1" applyFill="1" applyBorder="1" applyAlignment="1">
      <alignment horizontal="center" vertical="center"/>
    </xf>
    <xf numFmtId="177" fontId="7" fillId="0" borderId="44" xfId="0" applyNumberFormat="1" applyFont="1" applyFill="1" applyBorder="1" applyAlignment="1">
      <alignment horizontal="center" vertical="center" wrapText="1"/>
    </xf>
    <xf numFmtId="179" fontId="7" fillId="0" borderId="49" xfId="0" applyNumberFormat="1" applyFont="1" applyFill="1" applyBorder="1" applyAlignment="1">
      <alignment horizontal="center" vertical="center" wrapText="1"/>
    </xf>
    <xf numFmtId="177" fontId="7" fillId="0" borderId="9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horizontal="center" vertical="center"/>
    </xf>
    <xf numFmtId="177" fontId="7" fillId="2" borderId="37" xfId="0" applyNumberFormat="1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177" fontId="7" fillId="0" borderId="37" xfId="0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 wrapText="1"/>
    </xf>
    <xf numFmtId="0" fontId="7" fillId="0" borderId="63" xfId="0" applyFont="1" applyFill="1" applyBorder="1" applyAlignment="1">
      <alignment horizontal="center" vertical="center"/>
    </xf>
    <xf numFmtId="178" fontId="7" fillId="0" borderId="49" xfId="0" applyNumberFormat="1" applyFont="1" applyFill="1" applyBorder="1" applyAlignment="1">
      <alignment horizontal="center" vertical="center" wrapText="1"/>
    </xf>
    <xf numFmtId="178" fontId="7" fillId="0" borderId="34" xfId="0" applyNumberFormat="1" applyFont="1" applyBorder="1" applyAlignment="1">
      <alignment horizontal="center" vertical="center" wrapText="1"/>
    </xf>
    <xf numFmtId="178" fontId="7" fillId="0" borderId="9" xfId="0" applyNumberFormat="1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6" fillId="2" borderId="8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6" fillId="2" borderId="21" xfId="0" applyNumberFormat="1" applyFont="1" applyFill="1" applyBorder="1" applyAlignment="1">
      <alignment horizontal="center" vertical="center" wrapText="1"/>
    </xf>
    <xf numFmtId="177" fontId="7" fillId="0" borderId="21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177" fontId="7" fillId="0" borderId="8" xfId="0" applyNumberFormat="1" applyFont="1" applyFill="1" applyBorder="1" applyAlignment="1">
      <alignment horizontal="center" vertical="center" wrapText="1"/>
    </xf>
    <xf numFmtId="0" fontId="7" fillId="0" borderId="61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77" fontId="7" fillId="0" borderId="53" xfId="0" applyNumberFormat="1" applyFont="1" applyFill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77" fontId="10" fillId="0" borderId="21" xfId="0" applyNumberFormat="1" applyFont="1" applyFill="1" applyBorder="1" applyAlignment="1">
      <alignment horizontal="center" vertical="center" wrapText="1"/>
    </xf>
    <xf numFmtId="177" fontId="10" fillId="0" borderId="10" xfId="0" applyNumberFormat="1" applyFont="1" applyFill="1" applyBorder="1" applyAlignment="1">
      <alignment horizontal="center" vertical="center"/>
    </xf>
    <xf numFmtId="177" fontId="10" fillId="0" borderId="8" xfId="0" applyNumberFormat="1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/>
    </xf>
    <xf numFmtId="0" fontId="6" fillId="2" borderId="45" xfId="0" applyNumberFormat="1" applyFont="1" applyFill="1" applyBorder="1" applyAlignment="1">
      <alignment horizontal="center" vertical="center" wrapText="1"/>
    </xf>
    <xf numFmtId="0" fontId="11" fillId="0" borderId="51" xfId="0" applyFont="1" applyFill="1" applyBorder="1" applyAlignment="1">
      <alignment horizontal="center" vertical="center"/>
    </xf>
    <xf numFmtId="177" fontId="7" fillId="0" borderId="21" xfId="0" applyNumberFormat="1" applyFont="1" applyFill="1" applyBorder="1" applyAlignment="1">
      <alignment horizontal="center" vertical="center"/>
    </xf>
    <xf numFmtId="179" fontId="7" fillId="0" borderId="53" xfId="0" applyNumberFormat="1" applyFont="1" applyFill="1" applyBorder="1" applyAlignment="1">
      <alignment horizontal="center" vertical="center"/>
    </xf>
    <xf numFmtId="177" fontId="7" fillId="0" borderId="8" xfId="0" applyNumberFormat="1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177" fontId="7" fillId="2" borderId="8" xfId="0" applyNumberFormat="1" applyFont="1" applyFill="1" applyBorder="1" applyAlignment="1">
      <alignment horizontal="center" vertical="center"/>
    </xf>
    <xf numFmtId="177" fontId="7" fillId="0" borderId="36" xfId="0" applyNumberFormat="1" applyFont="1" applyFill="1" applyBorder="1" applyAlignment="1">
      <alignment horizontal="center" vertical="center" wrapText="1"/>
    </xf>
    <xf numFmtId="0" fontId="10" fillId="0" borderId="53" xfId="0" applyFont="1" applyFill="1" applyBorder="1" applyAlignment="1">
      <alignment horizontal="center" vertical="center" wrapText="1"/>
    </xf>
    <xf numFmtId="177" fontId="10" fillId="0" borderId="53" xfId="0" applyNumberFormat="1" applyFont="1" applyFill="1" applyBorder="1" applyAlignment="1">
      <alignment horizontal="center" vertical="center" wrapText="1"/>
    </xf>
    <xf numFmtId="40" fontId="10" fillId="0" borderId="10" xfId="3" applyNumberFormat="1" applyFont="1" applyFill="1" applyBorder="1" applyAlignment="1">
      <alignment horizontal="center" vertical="center" wrapText="1"/>
    </xf>
    <xf numFmtId="0" fontId="6" fillId="2" borderId="59" xfId="0" applyNumberFormat="1" applyFont="1" applyFill="1" applyBorder="1" applyAlignment="1">
      <alignment horizontal="center" vertical="center" wrapText="1"/>
    </xf>
    <xf numFmtId="177" fontId="10" fillId="0" borderId="59" xfId="0" applyNumberFormat="1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81" fontId="6" fillId="0" borderId="35" xfId="0" applyNumberFormat="1" applyFont="1" applyBorder="1" applyAlignment="1">
      <alignment horizontal="center" vertical="center" wrapText="1"/>
    </xf>
    <xf numFmtId="181" fontId="6" fillId="0" borderId="28" xfId="0" applyNumberFormat="1" applyFont="1" applyBorder="1" applyAlignment="1">
      <alignment horizontal="center" vertical="center" wrapText="1"/>
    </xf>
    <xf numFmtId="181" fontId="7" fillId="2" borderId="27" xfId="0" applyNumberFormat="1" applyFont="1" applyFill="1" applyBorder="1" applyAlignment="1">
      <alignment horizontal="center" vertical="center" wrapText="1"/>
    </xf>
    <xf numFmtId="181" fontId="7" fillId="2" borderId="34" xfId="0" applyNumberFormat="1" applyFont="1" applyFill="1" applyBorder="1" applyAlignment="1">
      <alignment horizontal="center" vertical="center" wrapText="1"/>
    </xf>
    <xf numFmtId="181" fontId="7" fillId="2" borderId="33" xfId="0" applyNumberFormat="1" applyFont="1" applyFill="1" applyBorder="1" applyAlignment="1">
      <alignment horizontal="center" vertical="center" wrapText="1"/>
    </xf>
    <xf numFmtId="181" fontId="7" fillId="0" borderId="33" xfId="0" applyNumberFormat="1" applyFont="1" applyFill="1" applyBorder="1" applyAlignment="1">
      <alignment horizontal="center" vertical="center" wrapText="1"/>
    </xf>
    <xf numFmtId="181" fontId="7" fillId="0" borderId="34" xfId="0" applyNumberFormat="1" applyFont="1" applyFill="1" applyBorder="1" applyAlignment="1">
      <alignment horizontal="center" vertical="center" wrapText="1"/>
    </xf>
    <xf numFmtId="181" fontId="10" fillId="2" borderId="33" xfId="0" applyNumberFormat="1" applyFont="1" applyFill="1" applyBorder="1" applyAlignment="1">
      <alignment horizontal="center" vertical="center" wrapText="1"/>
    </xf>
    <xf numFmtId="181" fontId="10" fillId="2" borderId="34" xfId="0" applyNumberFormat="1" applyFont="1" applyFill="1" applyBorder="1" applyAlignment="1">
      <alignment horizontal="center" vertical="center" wrapText="1"/>
    </xf>
    <xf numFmtId="181" fontId="10" fillId="0" borderId="33" xfId="0" applyNumberFormat="1" applyFont="1" applyFill="1" applyBorder="1" applyAlignment="1">
      <alignment horizontal="center" vertical="center" wrapText="1"/>
    </xf>
    <xf numFmtId="181" fontId="10" fillId="0" borderId="34" xfId="0" applyNumberFormat="1" applyFont="1" applyFill="1" applyBorder="1" applyAlignment="1">
      <alignment horizontal="center" vertical="center" wrapText="1"/>
    </xf>
    <xf numFmtId="181" fontId="7" fillId="0" borderId="35" xfId="0" applyNumberFormat="1" applyFont="1" applyFill="1" applyBorder="1" applyAlignment="1">
      <alignment horizontal="center" vertical="center" wrapText="1"/>
    </xf>
    <xf numFmtId="181" fontId="10" fillId="2" borderId="35" xfId="0" applyNumberFormat="1" applyFont="1" applyFill="1" applyBorder="1" applyAlignment="1">
      <alignment horizontal="center" vertical="center" wrapText="1"/>
    </xf>
    <xf numFmtId="181" fontId="10" fillId="0" borderId="33" xfId="0" applyNumberFormat="1" applyFont="1" applyBorder="1" applyAlignment="1">
      <alignment horizontal="center" vertical="center" wrapText="1"/>
    </xf>
    <xf numFmtId="181" fontId="10" fillId="0" borderId="34" xfId="0" applyNumberFormat="1" applyFont="1" applyBorder="1" applyAlignment="1">
      <alignment horizontal="center" vertical="center" wrapText="1"/>
    </xf>
    <xf numFmtId="181" fontId="10" fillId="2" borderId="28" xfId="0" applyNumberFormat="1" applyFont="1" applyFill="1" applyBorder="1" applyAlignment="1">
      <alignment horizontal="center" vertical="center" wrapText="1"/>
    </xf>
    <xf numFmtId="181" fontId="7" fillId="0" borderId="0" xfId="0" applyNumberFormat="1" applyFont="1" applyAlignment="1">
      <alignment horizontal="center" vertical="center"/>
    </xf>
    <xf numFmtId="181" fontId="6" fillId="0" borderId="27" xfId="0" applyNumberFormat="1" applyFont="1" applyBorder="1" applyAlignment="1">
      <alignment horizontal="center" vertical="center" wrapText="1"/>
    </xf>
    <xf numFmtId="181" fontId="7" fillId="2" borderId="44" xfId="0" applyNumberFormat="1" applyFont="1" applyFill="1" applyBorder="1" applyAlignment="1">
      <alignment horizontal="center" vertical="center" wrapText="1"/>
    </xf>
    <xf numFmtId="181" fontId="7" fillId="2" borderId="40" xfId="0" applyNumberFormat="1" applyFont="1" applyFill="1" applyBorder="1" applyAlignment="1">
      <alignment horizontal="center" vertical="center" wrapText="1"/>
    </xf>
    <xf numFmtId="181" fontId="7" fillId="2" borderId="38" xfId="0" applyNumberFormat="1" applyFont="1" applyFill="1" applyBorder="1" applyAlignment="1">
      <alignment horizontal="center" vertical="center" wrapText="1"/>
    </xf>
    <xf numFmtId="181" fontId="7" fillId="0" borderId="41" xfId="0" applyNumberFormat="1" applyFont="1" applyFill="1" applyBorder="1" applyAlignment="1">
      <alignment horizontal="center" vertical="center" wrapText="1"/>
    </xf>
    <xf numFmtId="181" fontId="10" fillId="2" borderId="38" xfId="0" applyNumberFormat="1" applyFont="1" applyFill="1" applyBorder="1" applyAlignment="1">
      <alignment horizontal="center" vertical="center" wrapText="1"/>
    </xf>
    <xf numFmtId="181" fontId="10" fillId="2" borderId="40" xfId="0" applyNumberFormat="1" applyFont="1" applyFill="1" applyBorder="1" applyAlignment="1">
      <alignment horizontal="center" vertical="center" wrapText="1"/>
    </xf>
    <xf numFmtId="181" fontId="7" fillId="2" borderId="33" xfId="0" applyNumberFormat="1" applyFont="1" applyFill="1" applyBorder="1" applyAlignment="1">
      <alignment horizontal="center" vertical="center"/>
    </xf>
    <xf numFmtId="181" fontId="7" fillId="2" borderId="34" xfId="0" applyNumberFormat="1" applyFont="1" applyFill="1" applyBorder="1" applyAlignment="1">
      <alignment horizontal="center" vertical="center"/>
    </xf>
    <xf numFmtId="181" fontId="10" fillId="0" borderId="41" xfId="0" applyNumberFormat="1" applyFont="1" applyFill="1" applyBorder="1" applyAlignment="1">
      <alignment horizontal="center" vertical="center" wrapText="1"/>
    </xf>
    <xf numFmtId="181" fontId="10" fillId="2" borderId="26" xfId="0" applyNumberFormat="1" applyFont="1" applyFill="1" applyBorder="1" applyAlignment="1">
      <alignment horizontal="center" vertical="center" wrapText="1"/>
    </xf>
  </cellXfs>
  <cellStyles count="4">
    <cellStyle name="桁区切り" xfId="3" builtinId="6"/>
    <cellStyle name="桁区切り 2" xfId="2"/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154"/>
  <sheetViews>
    <sheetView tabSelected="1" zoomScale="80" zoomScaleNormal="80" workbookViewId="0">
      <selection sqref="A1:BK1"/>
    </sheetView>
  </sheetViews>
  <sheetFormatPr defaultColWidth="8.875" defaultRowHeight="15.75"/>
  <cols>
    <col min="1" max="1" width="10.125" style="182" bestFit="1" customWidth="1"/>
    <col min="2" max="2" width="11.5" style="4" bestFit="1" customWidth="1"/>
    <col min="3" max="3" width="7.5" style="183" bestFit="1" customWidth="1"/>
    <col min="4" max="4" width="5.75" style="4" bestFit="1" customWidth="1"/>
    <col min="5" max="5" width="8.125" style="184" bestFit="1" customWidth="1"/>
    <col min="6" max="6" width="9.125" style="184" bestFit="1" customWidth="1"/>
    <col min="7" max="7" width="19.625" style="284" bestFit="1" customWidth="1"/>
    <col min="8" max="8" width="5.5" style="4" bestFit="1" customWidth="1"/>
    <col min="9" max="9" width="7.5" style="4" bestFit="1" customWidth="1"/>
    <col min="10" max="10" width="8.5" style="4" bestFit="1" customWidth="1"/>
    <col min="11" max="11" width="10.75" style="4" bestFit="1" customWidth="1"/>
    <col min="12" max="12" width="7" style="184" bestFit="1" customWidth="1"/>
    <col min="13" max="13" width="8" style="184" bestFit="1" customWidth="1"/>
    <col min="14" max="14" width="10.75" style="4" bestFit="1" customWidth="1"/>
    <col min="15" max="15" width="7" style="4" bestFit="1" customWidth="1"/>
    <col min="16" max="16" width="8" style="4" bestFit="1" customWidth="1"/>
    <col min="17" max="17" width="12" style="4" bestFit="1" customWidth="1"/>
    <col min="18" max="18" width="7" style="184" bestFit="1" customWidth="1"/>
    <col min="19" max="19" width="8" style="184" bestFit="1" customWidth="1"/>
    <col min="20" max="20" width="12" style="4" bestFit="1" customWidth="1"/>
    <col min="21" max="21" width="7" style="4" bestFit="1" customWidth="1"/>
    <col min="22" max="22" width="7.375" style="4" bestFit="1" customWidth="1"/>
    <col min="23" max="23" width="12" style="4" bestFit="1" customWidth="1"/>
    <col min="24" max="24" width="7" style="184" bestFit="1" customWidth="1"/>
    <col min="25" max="25" width="8" style="184" bestFit="1" customWidth="1"/>
    <col min="26" max="26" width="7" style="184" bestFit="1" customWidth="1"/>
    <col min="27" max="27" width="8" style="184" bestFit="1" customWidth="1"/>
    <col min="28" max="28" width="6.25" style="184" bestFit="1" customWidth="1"/>
    <col min="29" max="29" width="8.5" style="184" bestFit="1" customWidth="1"/>
    <col min="30" max="30" width="10.75" style="4" bestFit="1" customWidth="1"/>
    <col min="31" max="31" width="12" style="4" bestFit="1" customWidth="1"/>
    <col min="32" max="32" width="5.75" style="184" bestFit="1" customWidth="1"/>
    <col min="33" max="33" width="8" style="184" bestFit="1" customWidth="1"/>
    <col min="34" max="34" width="12" style="4" bestFit="1" customWidth="1"/>
    <col min="35" max="35" width="5.75" style="184" bestFit="1" customWidth="1"/>
    <col min="36" max="36" width="8" style="184" bestFit="1" customWidth="1"/>
    <col min="37" max="37" width="6.375" style="184" bestFit="1" customWidth="1"/>
    <col min="38" max="38" width="7.375" style="184" bestFit="1" customWidth="1"/>
    <col min="39" max="39" width="10.75" style="4" bestFit="1" customWidth="1"/>
    <col min="40" max="40" width="12" style="4" bestFit="1" customWidth="1"/>
    <col min="41" max="41" width="5.875" style="184" bestFit="1" customWidth="1"/>
    <col min="42" max="42" width="6.875" style="184" bestFit="1" customWidth="1"/>
    <col min="43" max="43" width="12" style="4" bestFit="1" customWidth="1"/>
    <col min="44" max="44" width="5.25" style="184" bestFit="1" customWidth="1"/>
    <col min="45" max="45" width="6.875" style="184" bestFit="1" customWidth="1"/>
    <col min="46" max="47" width="14.5" style="184" bestFit="1" customWidth="1"/>
    <col min="48" max="49" width="15.25" style="4" bestFit="1" customWidth="1"/>
    <col min="50" max="50" width="14.5" style="184" bestFit="1" customWidth="1"/>
    <col min="51" max="51" width="15.25" style="184" bestFit="1" customWidth="1"/>
    <col min="52" max="52" width="15.25" style="4" bestFit="1" customWidth="1"/>
    <col min="53" max="53" width="14.5" style="184" bestFit="1" customWidth="1"/>
    <col min="54" max="54" width="15.25" style="184" bestFit="1" customWidth="1"/>
    <col min="55" max="56" width="15.25" style="4" bestFit="1" customWidth="1"/>
    <col min="57" max="57" width="14.5" style="184" bestFit="1" customWidth="1"/>
    <col min="58" max="58" width="15.25" style="184" bestFit="1" customWidth="1"/>
    <col min="59" max="59" width="15.25" style="4" bestFit="1" customWidth="1"/>
    <col min="60" max="60" width="14.5" style="184" bestFit="1" customWidth="1"/>
    <col min="61" max="61" width="15.25" style="184" bestFit="1" customWidth="1"/>
    <col min="62" max="62" width="9" style="4" bestFit="1" customWidth="1"/>
    <col min="63" max="63" width="14.875" style="4" bestFit="1" customWidth="1"/>
    <col min="64" max="16384" width="8.875" style="4"/>
  </cols>
  <sheetData>
    <row r="1" spans="1:63" ht="30.75" customHeight="1" thickBot="1">
      <c r="A1" s="1" t="s">
        <v>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</row>
    <row r="2" spans="1:63" ht="30" customHeight="1" thickBot="1">
      <c r="A2" s="5" t="s">
        <v>52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7"/>
    </row>
    <row r="3" spans="1:63" ht="15" customHeight="1" thickBot="1">
      <c r="A3" s="8" t="s">
        <v>26</v>
      </c>
      <c r="B3" s="9" t="s">
        <v>27</v>
      </c>
      <c r="C3" s="10" t="s">
        <v>4</v>
      </c>
      <c r="D3" s="11" t="s">
        <v>35</v>
      </c>
      <c r="E3" s="12" t="s">
        <v>5</v>
      </c>
      <c r="F3" s="13"/>
      <c r="G3" s="268" t="s">
        <v>6</v>
      </c>
      <c r="H3" s="14" t="s">
        <v>8</v>
      </c>
      <c r="I3" s="15" t="s">
        <v>7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7"/>
      <c r="AB3" s="18" t="s">
        <v>30</v>
      </c>
      <c r="AC3" s="19"/>
      <c r="AD3" s="19"/>
      <c r="AE3" s="19"/>
      <c r="AF3" s="19"/>
      <c r="AG3" s="19"/>
      <c r="AH3" s="19"/>
      <c r="AI3" s="19"/>
      <c r="AJ3" s="20"/>
      <c r="AK3" s="19" t="s">
        <v>33</v>
      </c>
      <c r="AL3" s="19"/>
      <c r="AM3" s="19"/>
      <c r="AN3" s="19"/>
      <c r="AO3" s="19"/>
      <c r="AP3" s="19"/>
      <c r="AQ3" s="19"/>
      <c r="AR3" s="19"/>
      <c r="AS3" s="20"/>
      <c r="AT3" s="21" t="s">
        <v>37</v>
      </c>
      <c r="AU3" s="21"/>
      <c r="AV3" s="21"/>
      <c r="AW3" s="21"/>
      <c r="AX3" s="21"/>
      <c r="AY3" s="21"/>
      <c r="AZ3" s="21"/>
      <c r="BA3" s="21"/>
      <c r="BB3" s="22"/>
      <c r="BC3" s="21" t="s">
        <v>44</v>
      </c>
      <c r="BD3" s="21"/>
      <c r="BE3" s="21"/>
      <c r="BF3" s="21"/>
      <c r="BG3" s="21"/>
      <c r="BH3" s="21"/>
      <c r="BI3" s="21"/>
      <c r="BJ3" s="23" t="s">
        <v>53</v>
      </c>
      <c r="BK3" s="22"/>
    </row>
    <row r="4" spans="1:63" ht="15" customHeight="1" thickBot="1">
      <c r="A4" s="24"/>
      <c r="B4" s="25"/>
      <c r="C4" s="26"/>
      <c r="D4" s="27"/>
      <c r="E4" s="28"/>
      <c r="F4" s="29"/>
      <c r="G4" s="269"/>
      <c r="H4" s="30"/>
      <c r="I4" s="15" t="s">
        <v>12</v>
      </c>
      <c r="J4" s="17"/>
      <c r="K4" s="31" t="s">
        <v>14</v>
      </c>
      <c r="L4" s="32" t="s">
        <v>15</v>
      </c>
      <c r="M4" s="33"/>
      <c r="N4" s="31" t="s">
        <v>18</v>
      </c>
      <c r="O4" s="34" t="s">
        <v>19</v>
      </c>
      <c r="P4" s="35"/>
      <c r="Q4" s="31" t="s">
        <v>31</v>
      </c>
      <c r="R4" s="36" t="s">
        <v>17</v>
      </c>
      <c r="S4" s="37"/>
      <c r="T4" s="31" t="s">
        <v>20</v>
      </c>
      <c r="U4" s="34" t="s">
        <v>21</v>
      </c>
      <c r="V4" s="35"/>
      <c r="W4" s="31" t="s">
        <v>32</v>
      </c>
      <c r="X4" s="36" t="s">
        <v>24</v>
      </c>
      <c r="Y4" s="37"/>
      <c r="Z4" s="36" t="s">
        <v>25</v>
      </c>
      <c r="AA4" s="37"/>
      <c r="AB4" s="38" t="s">
        <v>11</v>
      </c>
      <c r="AC4" s="39"/>
      <c r="AD4" s="40" t="s">
        <v>34</v>
      </c>
      <c r="AE4" s="41" t="s">
        <v>16</v>
      </c>
      <c r="AF4" s="36" t="s">
        <v>17</v>
      </c>
      <c r="AG4" s="37"/>
      <c r="AH4" s="41" t="s">
        <v>22</v>
      </c>
      <c r="AI4" s="36" t="s">
        <v>23</v>
      </c>
      <c r="AJ4" s="37"/>
      <c r="AK4" s="38" t="s">
        <v>11</v>
      </c>
      <c r="AL4" s="39"/>
      <c r="AM4" s="40" t="s">
        <v>34</v>
      </c>
      <c r="AN4" s="41" t="s">
        <v>16</v>
      </c>
      <c r="AO4" s="36" t="s">
        <v>17</v>
      </c>
      <c r="AP4" s="37"/>
      <c r="AQ4" s="41" t="s">
        <v>22</v>
      </c>
      <c r="AR4" s="36" t="s">
        <v>23</v>
      </c>
      <c r="AS4" s="37"/>
      <c r="AT4" s="42" t="s">
        <v>36</v>
      </c>
      <c r="AU4" s="33"/>
      <c r="AV4" s="43" t="s">
        <v>38</v>
      </c>
      <c r="AW4" s="43" t="s">
        <v>39</v>
      </c>
      <c r="AX4" s="36" t="s">
        <v>17</v>
      </c>
      <c r="AY4" s="37"/>
      <c r="AZ4" s="43" t="s">
        <v>40</v>
      </c>
      <c r="BA4" s="36" t="s">
        <v>23</v>
      </c>
      <c r="BB4" s="37"/>
      <c r="BC4" s="44" t="s">
        <v>41</v>
      </c>
      <c r="BD4" s="45" t="s">
        <v>42</v>
      </c>
      <c r="BE4" s="38" t="s">
        <v>17</v>
      </c>
      <c r="BF4" s="33"/>
      <c r="BG4" s="46" t="s">
        <v>43</v>
      </c>
      <c r="BH4" s="38" t="s">
        <v>24</v>
      </c>
      <c r="BI4" s="33"/>
      <c r="BJ4" s="47" t="s">
        <v>54</v>
      </c>
      <c r="BK4" s="46" t="s">
        <v>55</v>
      </c>
    </row>
    <row r="5" spans="1:63" ht="15" customHeight="1">
      <c r="A5" s="48">
        <v>1</v>
      </c>
      <c r="B5" s="49" t="s">
        <v>28</v>
      </c>
      <c r="C5" s="50">
        <v>10.58904109589041</v>
      </c>
      <c r="D5" s="51" t="s">
        <v>0</v>
      </c>
      <c r="E5" s="52">
        <v>-2.25</v>
      </c>
      <c r="F5" s="53">
        <f t="shared" ref="F5:F79" si="0">AVERAGE(E5:E6)</f>
        <v>-2</v>
      </c>
      <c r="G5" s="270">
        <v>42104</v>
      </c>
      <c r="H5" s="54" t="s">
        <v>9</v>
      </c>
      <c r="I5" s="55">
        <v>25.54</v>
      </c>
      <c r="J5" s="56">
        <f t="shared" ref="J5:J79" si="1">AVERAGE(I5:I6)</f>
        <v>25.45</v>
      </c>
      <c r="K5" s="57">
        <v>25.52</v>
      </c>
      <c r="L5" s="58">
        <f>K5-I5</f>
        <v>-1.9999999999999574E-2</v>
      </c>
      <c r="M5" s="59">
        <f t="shared" ref="M5" si="2">AVERAGE(L5:L6)</f>
        <v>-1.9999999999999574E-2</v>
      </c>
      <c r="N5" s="57">
        <v>25.56</v>
      </c>
      <c r="O5" s="60">
        <f>N5-K5</f>
        <v>3.9999999999999147E-2</v>
      </c>
      <c r="P5" s="56">
        <f t="shared" ref="P5" si="3">AVERAGE(O5:O6)</f>
        <v>3.9999999999999147E-2</v>
      </c>
      <c r="Q5" s="57">
        <v>25.35</v>
      </c>
      <c r="R5" s="61">
        <f>Q5-K5</f>
        <v>-0.16999999999999815</v>
      </c>
      <c r="S5" s="59">
        <f t="shared" ref="S5" si="4">AVERAGE(R5:R6)</f>
        <v>-5.9999999999998721E-2</v>
      </c>
      <c r="T5" s="57">
        <v>25.71</v>
      </c>
      <c r="U5" s="60">
        <f t="shared" ref="U5:U36" si="5">T5-K5</f>
        <v>0.19000000000000128</v>
      </c>
      <c r="V5" s="62">
        <f t="shared" ref="V5:V79" si="6">AVERAGE(U5:U6)</f>
        <v>0.19500000000000028</v>
      </c>
      <c r="W5" s="57">
        <v>25.68</v>
      </c>
      <c r="X5" s="61">
        <f t="shared" ref="X5:X36" si="7">W5-K5</f>
        <v>0.16000000000000014</v>
      </c>
      <c r="Y5" s="59">
        <f t="shared" ref="Y5:AL5" si="8">AVERAGE(X5:X6)</f>
        <v>0.17500000000000071</v>
      </c>
      <c r="Z5" s="61">
        <f t="shared" ref="Z5:Z36" si="9">W5-Q5</f>
        <v>0.32999999999999829</v>
      </c>
      <c r="AA5" s="59">
        <f t="shared" ref="AA5" si="10">AVERAGE(Z5:Z6)</f>
        <v>0.23499999999999943</v>
      </c>
      <c r="AB5" s="63">
        <v>3623</v>
      </c>
      <c r="AC5" s="64">
        <f t="shared" si="8"/>
        <v>3541.5</v>
      </c>
      <c r="AD5" s="65">
        <v>3067</v>
      </c>
      <c r="AE5" s="65">
        <v>3322</v>
      </c>
      <c r="AF5" s="63">
        <f t="shared" ref="AF5:AF36" si="11">AE5-AD5</f>
        <v>255</v>
      </c>
      <c r="AG5" s="66">
        <f t="shared" ref="AG5" si="12">AVERAGE(AF5:AF6)</f>
        <v>46.5</v>
      </c>
      <c r="AH5" s="65">
        <v>2808</v>
      </c>
      <c r="AI5" s="63">
        <f t="shared" ref="AI5:AI36" si="13">AH5-AD5</f>
        <v>-259</v>
      </c>
      <c r="AJ5" s="66">
        <f t="shared" ref="AJ5" si="14">AVERAGE(AI5:AI6)</f>
        <v>-116.5</v>
      </c>
      <c r="AK5" s="67">
        <v>11.5</v>
      </c>
      <c r="AL5" s="68">
        <f t="shared" si="8"/>
        <v>11.25</v>
      </c>
      <c r="AM5" s="69">
        <v>14</v>
      </c>
      <c r="AN5" s="69">
        <v>10.5</v>
      </c>
      <c r="AO5" s="70">
        <f t="shared" ref="AO5:AO36" si="15">AN5-AM5</f>
        <v>-3.5</v>
      </c>
      <c r="AP5" s="68">
        <f t="shared" ref="AP5" si="16">AVERAGE(AO5:AO6)</f>
        <v>-2.5999999999999996</v>
      </c>
      <c r="AQ5" s="69">
        <v>16</v>
      </c>
      <c r="AR5" s="71">
        <f t="shared" ref="AR5:AR36" si="17">AQ5-AM5</f>
        <v>2</v>
      </c>
      <c r="AS5" s="53">
        <f t="shared" ref="AS5" si="18">AVERAGE(AR5:AR6)</f>
        <v>0.65000000000000036</v>
      </c>
      <c r="AT5" s="72">
        <v>0.52287874528033762</v>
      </c>
      <c r="AU5" s="73">
        <v>0.61092437480817829</v>
      </c>
      <c r="AV5" s="74">
        <v>-7.9181246047624804E-2</v>
      </c>
      <c r="AW5" s="74">
        <v>-7.9181246047624804E-2</v>
      </c>
      <c r="AX5" s="75">
        <f t="shared" ref="AX5:AX36" si="19">AW5-AV5</f>
        <v>0</v>
      </c>
      <c r="AY5" s="59">
        <f t="shared" ref="AY5" si="20">AVERAGE(AX5:AX6)</f>
        <v>0</v>
      </c>
      <c r="AZ5" s="74">
        <v>-7.9181246047624804E-2</v>
      </c>
      <c r="BA5" s="76">
        <f t="shared" ref="BA5:BA36" si="21">AZ5-AV5</f>
        <v>0</v>
      </c>
      <c r="BB5" s="53">
        <f t="shared" ref="BB5" si="22">AVERAGE(BA5:BA6)</f>
        <v>0</v>
      </c>
      <c r="BC5" s="77">
        <v>-7.9181246047624804E-2</v>
      </c>
      <c r="BD5" s="77">
        <v>0</v>
      </c>
      <c r="BE5" s="71">
        <f t="shared" ref="BE5:BE36" si="23">BD5-BC5</f>
        <v>7.9181246047624804E-2</v>
      </c>
      <c r="BF5" s="78">
        <f t="shared" ref="BF5" si="24">AVERAGE(BE5:BE6)</f>
        <v>3.9590623023812402E-2</v>
      </c>
      <c r="BG5" s="77">
        <v>0</v>
      </c>
      <c r="BH5" s="71">
        <f t="shared" ref="BH5:BH36" si="25">BG5-BC5</f>
        <v>7.9181246047624804E-2</v>
      </c>
      <c r="BI5" s="78">
        <f t="shared" ref="BI5" si="26">AVERAGE(BH5:BH6)</f>
        <v>3.9590623023812402E-2</v>
      </c>
      <c r="BJ5" s="79">
        <v>100</v>
      </c>
      <c r="BK5" s="80">
        <v>98</v>
      </c>
    </row>
    <row r="6" spans="1:63" ht="15" customHeight="1">
      <c r="A6" s="81"/>
      <c r="B6" s="82"/>
      <c r="C6" s="83"/>
      <c r="D6" s="84"/>
      <c r="E6" s="85">
        <v>-1.75</v>
      </c>
      <c r="F6" s="59"/>
      <c r="G6" s="271"/>
      <c r="H6" s="54" t="s">
        <v>10</v>
      </c>
      <c r="I6" s="55">
        <v>25.36</v>
      </c>
      <c r="J6" s="56"/>
      <c r="K6" s="86">
        <v>25.34</v>
      </c>
      <c r="L6" s="58">
        <f t="shared" ref="L6:L80" si="27">K6-I6</f>
        <v>-1.9999999999999574E-2</v>
      </c>
      <c r="M6" s="59"/>
      <c r="N6" s="86">
        <v>25.38</v>
      </c>
      <c r="O6" s="60">
        <f t="shared" ref="O6:O80" si="28">N6-K6</f>
        <v>3.9999999999999147E-2</v>
      </c>
      <c r="P6" s="56"/>
      <c r="Q6" s="86">
        <v>25.39</v>
      </c>
      <c r="R6" s="61">
        <f t="shared" ref="R6:R80" si="29">Q6-K6</f>
        <v>5.0000000000000711E-2</v>
      </c>
      <c r="S6" s="59"/>
      <c r="T6" s="86">
        <v>25.54</v>
      </c>
      <c r="U6" s="60">
        <f t="shared" si="5"/>
        <v>0.19999999999999929</v>
      </c>
      <c r="V6" s="56"/>
      <c r="W6" s="86">
        <v>25.53</v>
      </c>
      <c r="X6" s="61">
        <f t="shared" si="7"/>
        <v>0.19000000000000128</v>
      </c>
      <c r="Y6" s="59"/>
      <c r="Z6" s="61">
        <f t="shared" si="9"/>
        <v>0.14000000000000057</v>
      </c>
      <c r="AA6" s="59"/>
      <c r="AB6" s="71">
        <v>3460</v>
      </c>
      <c r="AC6" s="66"/>
      <c r="AD6" s="87">
        <v>3610</v>
      </c>
      <c r="AE6" s="87">
        <v>3448</v>
      </c>
      <c r="AF6" s="71">
        <f t="shared" si="11"/>
        <v>-162</v>
      </c>
      <c r="AG6" s="78"/>
      <c r="AH6" s="87">
        <v>3636</v>
      </c>
      <c r="AI6" s="71">
        <f t="shared" si="13"/>
        <v>26</v>
      </c>
      <c r="AJ6" s="78"/>
      <c r="AK6" s="88">
        <v>11</v>
      </c>
      <c r="AL6" s="78"/>
      <c r="AM6" s="89">
        <v>12.7</v>
      </c>
      <c r="AN6" s="89">
        <v>11</v>
      </c>
      <c r="AO6" s="70">
        <f t="shared" si="15"/>
        <v>-1.6999999999999993</v>
      </c>
      <c r="AP6" s="78"/>
      <c r="AQ6" s="89">
        <v>12</v>
      </c>
      <c r="AR6" s="71">
        <f t="shared" si="17"/>
        <v>-0.69999999999999929</v>
      </c>
      <c r="AS6" s="59"/>
      <c r="AT6" s="90">
        <v>0.69897000433601886</v>
      </c>
      <c r="AU6" s="73"/>
      <c r="AV6" s="91">
        <v>-7.9181246047624804E-2</v>
      </c>
      <c r="AW6" s="91">
        <v>-7.9181246047624804E-2</v>
      </c>
      <c r="AX6" s="75">
        <f t="shared" si="19"/>
        <v>0</v>
      </c>
      <c r="AY6" s="59"/>
      <c r="AZ6" s="91">
        <v>-7.9181246047624804E-2</v>
      </c>
      <c r="BA6" s="75">
        <f t="shared" si="21"/>
        <v>0</v>
      </c>
      <c r="BB6" s="59"/>
      <c r="BC6" s="92">
        <v>0</v>
      </c>
      <c r="BD6" s="92">
        <v>0</v>
      </c>
      <c r="BE6" s="71">
        <f t="shared" si="23"/>
        <v>0</v>
      </c>
      <c r="BF6" s="78"/>
      <c r="BG6" s="92">
        <v>0</v>
      </c>
      <c r="BH6" s="71">
        <f t="shared" si="25"/>
        <v>0</v>
      </c>
      <c r="BI6" s="78"/>
      <c r="BJ6" s="93"/>
      <c r="BK6" s="94"/>
    </row>
    <row r="7" spans="1:63" ht="15" customHeight="1">
      <c r="A7" s="95">
        <v>2</v>
      </c>
      <c r="B7" s="82" t="s">
        <v>28</v>
      </c>
      <c r="C7" s="96">
        <v>10.616438356164384</v>
      </c>
      <c r="D7" s="97" t="s">
        <v>1</v>
      </c>
      <c r="E7" s="85">
        <v>-1.25</v>
      </c>
      <c r="F7" s="98">
        <f t="shared" si="0"/>
        <v>-1.125</v>
      </c>
      <c r="G7" s="272">
        <v>42114</v>
      </c>
      <c r="H7" s="54" t="s">
        <v>9</v>
      </c>
      <c r="I7" s="55">
        <v>24.51</v>
      </c>
      <c r="J7" s="56">
        <f t="shared" si="1"/>
        <v>24.484999999999999</v>
      </c>
      <c r="K7" s="86">
        <v>24.53</v>
      </c>
      <c r="L7" s="58">
        <f t="shared" si="27"/>
        <v>1.9999999999999574E-2</v>
      </c>
      <c r="M7" s="59">
        <f t="shared" ref="M7" si="30">AVERAGE(L7:L8)</f>
        <v>9.9999999999997868E-3</v>
      </c>
      <c r="N7" s="86">
        <v>24.58</v>
      </c>
      <c r="O7" s="60">
        <f t="shared" si="28"/>
        <v>4.9999999999997158E-2</v>
      </c>
      <c r="P7" s="56">
        <f t="shared" ref="P7" si="31">AVERAGE(O7:O8)</f>
        <v>8.49999999999973E-2</v>
      </c>
      <c r="Q7" s="86">
        <v>24.72</v>
      </c>
      <c r="R7" s="61">
        <f t="shared" si="29"/>
        <v>0.18999999999999773</v>
      </c>
      <c r="S7" s="59">
        <f t="shared" ref="S7" si="32">AVERAGE(R7:R8)</f>
        <v>0.20999999999999908</v>
      </c>
      <c r="T7" s="86">
        <v>24.86</v>
      </c>
      <c r="U7" s="60">
        <f t="shared" si="5"/>
        <v>0.32999999999999829</v>
      </c>
      <c r="V7" s="56">
        <f t="shared" si="6"/>
        <v>0.33999999999999808</v>
      </c>
      <c r="W7" s="86">
        <v>25.04</v>
      </c>
      <c r="X7" s="61">
        <f t="shared" si="7"/>
        <v>0.50999999999999801</v>
      </c>
      <c r="Y7" s="59">
        <f t="shared" ref="Y7:AL21" si="33">AVERAGE(X7:X8)</f>
        <v>0.50499999999999901</v>
      </c>
      <c r="Z7" s="61">
        <f t="shared" si="9"/>
        <v>0.32000000000000028</v>
      </c>
      <c r="AA7" s="59">
        <f t="shared" ref="AA7" si="34">AVERAGE(Z7:Z8)</f>
        <v>0.29499999999999993</v>
      </c>
      <c r="AB7" s="71">
        <v>3558</v>
      </c>
      <c r="AC7" s="99">
        <f t="shared" si="33"/>
        <v>3473.5</v>
      </c>
      <c r="AD7" s="87">
        <v>3831</v>
      </c>
      <c r="AE7" s="87">
        <v>3412</v>
      </c>
      <c r="AF7" s="71">
        <f t="shared" si="11"/>
        <v>-419</v>
      </c>
      <c r="AG7" s="78">
        <f t="shared" ref="AG7" si="35">AVERAGE(AF7:AF8)</f>
        <v>-290.5</v>
      </c>
      <c r="AH7" s="87">
        <v>3472</v>
      </c>
      <c r="AI7" s="71">
        <f t="shared" si="13"/>
        <v>-359</v>
      </c>
      <c r="AJ7" s="78">
        <f t="shared" ref="AJ7" si="36">AVERAGE(AI7:AI8)</f>
        <v>-361.5</v>
      </c>
      <c r="AK7" s="88">
        <v>13.5</v>
      </c>
      <c r="AL7" s="78">
        <f t="shared" si="33"/>
        <v>12.75</v>
      </c>
      <c r="AM7" s="89">
        <v>15</v>
      </c>
      <c r="AN7" s="89">
        <v>11.5</v>
      </c>
      <c r="AO7" s="70">
        <f t="shared" si="15"/>
        <v>-3.5</v>
      </c>
      <c r="AP7" s="78">
        <f t="shared" ref="AP7" si="37">AVERAGE(AO7:AO8)</f>
        <v>-2.5</v>
      </c>
      <c r="AQ7" s="89">
        <v>13</v>
      </c>
      <c r="AR7" s="71">
        <f t="shared" si="17"/>
        <v>-2</v>
      </c>
      <c r="AS7" s="59">
        <f t="shared" ref="AS7" si="38">AVERAGE(AR7:AR8)</f>
        <v>-2.75</v>
      </c>
      <c r="AT7" s="90">
        <v>0.52287874528033762</v>
      </c>
      <c r="AU7" s="73">
        <v>0.52287874528033762</v>
      </c>
      <c r="AV7" s="91">
        <v>-7.9181246047624804E-2</v>
      </c>
      <c r="AW7" s="91">
        <v>4.5757490560675143E-2</v>
      </c>
      <c r="AX7" s="75">
        <f t="shared" si="19"/>
        <v>0.12493873660829995</v>
      </c>
      <c r="AY7" s="59">
        <f t="shared" ref="AY7" si="39">AVERAGE(AX7:AX8)</f>
        <v>6.2469368304149973E-2</v>
      </c>
      <c r="AZ7" s="91">
        <v>4.5757490560675143E-2</v>
      </c>
      <c r="BA7" s="75">
        <f t="shared" si="21"/>
        <v>0.12493873660829995</v>
      </c>
      <c r="BB7" s="59">
        <f t="shared" ref="BB7" si="40">AVERAGE(BA7:BA8)</f>
        <v>0.12493873660829995</v>
      </c>
      <c r="BC7" s="92">
        <v>-7.9181246047624804E-2</v>
      </c>
      <c r="BD7" s="92">
        <v>-7.9181246047624804E-2</v>
      </c>
      <c r="BE7" s="71">
        <f t="shared" si="23"/>
        <v>0</v>
      </c>
      <c r="BF7" s="78">
        <f t="shared" ref="BF7" si="41">AVERAGE(BE7:BE8)</f>
        <v>0</v>
      </c>
      <c r="BG7" s="92">
        <v>0</v>
      </c>
      <c r="BH7" s="71">
        <f t="shared" si="25"/>
        <v>7.9181246047624804E-2</v>
      </c>
      <c r="BI7" s="78">
        <f t="shared" ref="BI7" si="42">AVERAGE(BH7:BH8)</f>
        <v>7.9181246047624804E-2</v>
      </c>
      <c r="BJ7" s="93">
        <v>94</v>
      </c>
      <c r="BK7" s="94">
        <v>70</v>
      </c>
    </row>
    <row r="8" spans="1:63" ht="15" customHeight="1">
      <c r="A8" s="81"/>
      <c r="B8" s="82"/>
      <c r="C8" s="83"/>
      <c r="D8" s="84"/>
      <c r="E8" s="85">
        <v>-1</v>
      </c>
      <c r="F8" s="100"/>
      <c r="G8" s="271"/>
      <c r="H8" s="54" t="s">
        <v>10</v>
      </c>
      <c r="I8" s="55">
        <v>24.46</v>
      </c>
      <c r="J8" s="56"/>
      <c r="K8" s="86">
        <v>24.46</v>
      </c>
      <c r="L8" s="58">
        <f t="shared" si="27"/>
        <v>0</v>
      </c>
      <c r="M8" s="59"/>
      <c r="N8" s="86">
        <v>24.58</v>
      </c>
      <c r="O8" s="60">
        <f t="shared" si="28"/>
        <v>0.11999999999999744</v>
      </c>
      <c r="P8" s="56"/>
      <c r="Q8" s="86">
        <v>24.69</v>
      </c>
      <c r="R8" s="61">
        <f t="shared" si="29"/>
        <v>0.23000000000000043</v>
      </c>
      <c r="S8" s="59"/>
      <c r="T8" s="86">
        <v>24.81</v>
      </c>
      <c r="U8" s="60">
        <f t="shared" si="5"/>
        <v>0.34999999999999787</v>
      </c>
      <c r="V8" s="56"/>
      <c r="W8" s="86">
        <v>24.96</v>
      </c>
      <c r="X8" s="61">
        <f t="shared" si="7"/>
        <v>0.5</v>
      </c>
      <c r="Y8" s="59"/>
      <c r="Z8" s="61">
        <f t="shared" si="9"/>
        <v>0.26999999999999957</v>
      </c>
      <c r="AA8" s="59"/>
      <c r="AB8" s="71">
        <v>3389</v>
      </c>
      <c r="AC8" s="66"/>
      <c r="AD8" s="87">
        <v>3610</v>
      </c>
      <c r="AE8" s="87">
        <v>3448</v>
      </c>
      <c r="AF8" s="71">
        <f t="shared" si="11"/>
        <v>-162</v>
      </c>
      <c r="AG8" s="78"/>
      <c r="AH8" s="87">
        <v>3246</v>
      </c>
      <c r="AI8" s="71">
        <f t="shared" si="13"/>
        <v>-364</v>
      </c>
      <c r="AJ8" s="78"/>
      <c r="AK8" s="88">
        <v>12</v>
      </c>
      <c r="AL8" s="78"/>
      <c r="AM8" s="89">
        <v>14.5</v>
      </c>
      <c r="AN8" s="89">
        <v>13</v>
      </c>
      <c r="AO8" s="70">
        <f t="shared" si="15"/>
        <v>-1.5</v>
      </c>
      <c r="AP8" s="78"/>
      <c r="AQ8" s="89">
        <v>11</v>
      </c>
      <c r="AR8" s="71">
        <f t="shared" si="17"/>
        <v>-3.5</v>
      </c>
      <c r="AS8" s="59"/>
      <c r="AT8" s="90">
        <v>0.52287874528033762</v>
      </c>
      <c r="AU8" s="73"/>
      <c r="AV8" s="91">
        <v>-7.9181246047624804E-2</v>
      </c>
      <c r="AW8" s="91">
        <v>-7.9181246047624804E-2</v>
      </c>
      <c r="AX8" s="75">
        <f t="shared" si="19"/>
        <v>0</v>
      </c>
      <c r="AY8" s="59"/>
      <c r="AZ8" s="91">
        <v>4.5757490560675143E-2</v>
      </c>
      <c r="BA8" s="75">
        <f t="shared" si="21"/>
        <v>0.12493873660829995</v>
      </c>
      <c r="BB8" s="59"/>
      <c r="BC8" s="92">
        <v>-7.9181246047624804E-2</v>
      </c>
      <c r="BD8" s="92">
        <v>-7.9181246047624804E-2</v>
      </c>
      <c r="BE8" s="71">
        <f t="shared" si="23"/>
        <v>0</v>
      </c>
      <c r="BF8" s="78"/>
      <c r="BG8" s="92">
        <v>0</v>
      </c>
      <c r="BH8" s="71">
        <f t="shared" si="25"/>
        <v>7.9181246047624804E-2</v>
      </c>
      <c r="BI8" s="78"/>
      <c r="BJ8" s="93"/>
      <c r="BK8" s="94"/>
    </row>
    <row r="9" spans="1:63" ht="15" customHeight="1">
      <c r="A9" s="95">
        <v>3</v>
      </c>
      <c r="B9" s="82" t="s">
        <v>28</v>
      </c>
      <c r="C9" s="101">
        <v>10.687671232876712</v>
      </c>
      <c r="D9" s="97" t="s">
        <v>1</v>
      </c>
      <c r="E9" s="85">
        <v>-2.75</v>
      </c>
      <c r="F9" s="59">
        <f t="shared" si="0"/>
        <v>-2.75</v>
      </c>
      <c r="G9" s="272">
        <v>42149</v>
      </c>
      <c r="H9" s="54" t="s">
        <v>9</v>
      </c>
      <c r="I9" s="55">
        <v>24.95</v>
      </c>
      <c r="J9" s="56">
        <f t="shared" si="1"/>
        <v>24.89</v>
      </c>
      <c r="K9" s="86">
        <v>24.88</v>
      </c>
      <c r="L9" s="58">
        <f t="shared" si="27"/>
        <v>-7.0000000000000284E-2</v>
      </c>
      <c r="M9" s="59">
        <f t="shared" ref="M9" si="43">AVERAGE(L9:L10)</f>
        <v>-6.4999999999999503E-2</v>
      </c>
      <c r="N9" s="86">
        <v>25.01</v>
      </c>
      <c r="O9" s="60">
        <f t="shared" si="28"/>
        <v>0.13000000000000256</v>
      </c>
      <c r="P9" s="56">
        <f t="shared" ref="P9" si="44">AVERAGE(O9:O10)</f>
        <v>0.1050000000000022</v>
      </c>
      <c r="Q9" s="86">
        <v>25.04</v>
      </c>
      <c r="R9" s="61">
        <f t="shared" si="29"/>
        <v>0.16000000000000014</v>
      </c>
      <c r="S9" s="59">
        <f t="shared" ref="S9" si="45">AVERAGE(R9:R10)</f>
        <v>0.16500000000000092</v>
      </c>
      <c r="T9" s="86">
        <v>25.12</v>
      </c>
      <c r="U9" s="60">
        <f t="shared" si="5"/>
        <v>0.24000000000000199</v>
      </c>
      <c r="V9" s="56">
        <f t="shared" si="6"/>
        <v>0.25000000000000178</v>
      </c>
      <c r="W9" s="86">
        <v>25.17</v>
      </c>
      <c r="X9" s="61">
        <f t="shared" si="7"/>
        <v>0.2900000000000027</v>
      </c>
      <c r="Y9" s="59">
        <f t="shared" ref="Y9:AC23" si="46">AVERAGE(X9:X10)</f>
        <v>0.30000000000000071</v>
      </c>
      <c r="Z9" s="61">
        <f t="shared" si="9"/>
        <v>0.13000000000000256</v>
      </c>
      <c r="AA9" s="59">
        <f t="shared" ref="AA9" si="47">AVERAGE(Z9:Z10)</f>
        <v>0.13499999999999979</v>
      </c>
      <c r="AB9" s="71">
        <v>3875</v>
      </c>
      <c r="AC9" s="99">
        <f t="shared" si="46"/>
        <v>4012</v>
      </c>
      <c r="AD9" s="87">
        <v>3816</v>
      </c>
      <c r="AE9" s="87">
        <v>3412</v>
      </c>
      <c r="AF9" s="71">
        <f t="shared" si="11"/>
        <v>-404</v>
      </c>
      <c r="AG9" s="78">
        <f t="shared" ref="AG9" si="48">AVERAGE(AF9:AF10)</f>
        <v>-265</v>
      </c>
      <c r="AH9" s="87">
        <v>3861</v>
      </c>
      <c r="AI9" s="71">
        <f t="shared" si="13"/>
        <v>45</v>
      </c>
      <c r="AJ9" s="78">
        <f t="shared" ref="AJ9" si="49">AVERAGE(AI9:AI10)</f>
        <v>129.5</v>
      </c>
      <c r="AK9" s="88">
        <v>13</v>
      </c>
      <c r="AL9" s="78">
        <f t="shared" si="33"/>
        <v>14</v>
      </c>
      <c r="AM9" s="89">
        <v>12.7</v>
      </c>
      <c r="AN9" s="89">
        <v>12</v>
      </c>
      <c r="AO9" s="70">
        <f t="shared" si="15"/>
        <v>-0.69999999999999929</v>
      </c>
      <c r="AP9" s="78">
        <f t="shared" ref="AP9" si="50">AVERAGE(AO9:AO10)</f>
        <v>0.25</v>
      </c>
      <c r="AQ9" s="89">
        <v>12.7</v>
      </c>
      <c r="AR9" s="71">
        <f t="shared" si="17"/>
        <v>0</v>
      </c>
      <c r="AS9" s="59">
        <f t="shared" ref="AS9" si="51">AVERAGE(AR9:AR10)</f>
        <v>0.19999999999999929</v>
      </c>
      <c r="AT9" s="90">
        <v>0.82390874094431876</v>
      </c>
      <c r="AU9" s="73">
        <v>0.91195437047215933</v>
      </c>
      <c r="AV9" s="91">
        <v>-7.9181246047624804E-2</v>
      </c>
      <c r="AW9" s="91">
        <v>-7.9181246047624804E-2</v>
      </c>
      <c r="AX9" s="75">
        <f t="shared" si="19"/>
        <v>0</v>
      </c>
      <c r="AY9" s="59">
        <f t="shared" ref="AY9" si="52">AVERAGE(AX9:AX10)</f>
        <v>0</v>
      </c>
      <c r="AZ9" s="91">
        <v>0</v>
      </c>
      <c r="BA9" s="75">
        <f t="shared" si="21"/>
        <v>7.9181246047624804E-2</v>
      </c>
      <c r="BB9" s="59">
        <f t="shared" ref="BB9" si="53">AVERAGE(BA9:BA10)</f>
        <v>3.9590623023812402E-2</v>
      </c>
      <c r="BC9" s="92">
        <v>0</v>
      </c>
      <c r="BD9" s="92">
        <v>0</v>
      </c>
      <c r="BE9" s="71">
        <f t="shared" si="23"/>
        <v>0</v>
      </c>
      <c r="BF9" s="78">
        <f t="shared" ref="BF9" si="54">AVERAGE(BE9:BE10)</f>
        <v>0</v>
      </c>
      <c r="BG9" s="92">
        <v>0</v>
      </c>
      <c r="BH9" s="71">
        <f t="shared" si="25"/>
        <v>0</v>
      </c>
      <c r="BI9" s="78">
        <f t="shared" ref="BI9" si="55">AVERAGE(BH9:BH10)</f>
        <v>0</v>
      </c>
      <c r="BJ9" s="93">
        <v>96</v>
      </c>
      <c r="BK9" s="94">
        <v>86</v>
      </c>
    </row>
    <row r="10" spans="1:63" ht="15" customHeight="1">
      <c r="A10" s="81"/>
      <c r="B10" s="82"/>
      <c r="C10" s="102"/>
      <c r="D10" s="84"/>
      <c r="E10" s="85">
        <v>-2.75</v>
      </c>
      <c r="F10" s="59"/>
      <c r="G10" s="271"/>
      <c r="H10" s="54" t="s">
        <v>10</v>
      </c>
      <c r="I10" s="55">
        <v>24.83</v>
      </c>
      <c r="J10" s="56"/>
      <c r="K10" s="86">
        <v>24.77</v>
      </c>
      <c r="L10" s="58">
        <f t="shared" si="27"/>
        <v>-5.9999999999998721E-2</v>
      </c>
      <c r="M10" s="59"/>
      <c r="N10" s="86">
        <v>24.85</v>
      </c>
      <c r="O10" s="60">
        <f t="shared" si="28"/>
        <v>8.0000000000001847E-2</v>
      </c>
      <c r="P10" s="56"/>
      <c r="Q10" s="86">
        <v>24.94</v>
      </c>
      <c r="R10" s="61">
        <f t="shared" si="29"/>
        <v>0.17000000000000171</v>
      </c>
      <c r="S10" s="59"/>
      <c r="T10" s="86">
        <v>25.03</v>
      </c>
      <c r="U10" s="60">
        <f t="shared" si="5"/>
        <v>0.26000000000000156</v>
      </c>
      <c r="V10" s="56"/>
      <c r="W10" s="86">
        <v>25.08</v>
      </c>
      <c r="X10" s="61">
        <f t="shared" si="7"/>
        <v>0.30999999999999872</v>
      </c>
      <c r="Y10" s="59"/>
      <c r="Z10" s="61">
        <f t="shared" si="9"/>
        <v>0.13999999999999702</v>
      </c>
      <c r="AA10" s="59"/>
      <c r="AB10" s="71">
        <v>4149</v>
      </c>
      <c r="AC10" s="66"/>
      <c r="AD10" s="87">
        <v>3802</v>
      </c>
      <c r="AE10" s="87">
        <v>3676</v>
      </c>
      <c r="AF10" s="71">
        <f t="shared" si="11"/>
        <v>-126</v>
      </c>
      <c r="AG10" s="78"/>
      <c r="AH10" s="87">
        <v>4016</v>
      </c>
      <c r="AI10" s="71">
        <f t="shared" si="13"/>
        <v>214</v>
      </c>
      <c r="AJ10" s="78"/>
      <c r="AK10" s="88">
        <v>15</v>
      </c>
      <c r="AL10" s="78"/>
      <c r="AM10" s="89">
        <v>12.3</v>
      </c>
      <c r="AN10" s="89">
        <v>13.5</v>
      </c>
      <c r="AO10" s="70">
        <f t="shared" si="15"/>
        <v>1.1999999999999993</v>
      </c>
      <c r="AP10" s="78"/>
      <c r="AQ10" s="89">
        <v>12.7</v>
      </c>
      <c r="AR10" s="71">
        <f t="shared" si="17"/>
        <v>0.39999999999999858</v>
      </c>
      <c r="AS10" s="59"/>
      <c r="AT10" s="90">
        <v>1</v>
      </c>
      <c r="AU10" s="73"/>
      <c r="AV10" s="91">
        <v>-7.9181246047624804E-2</v>
      </c>
      <c r="AW10" s="91">
        <v>-7.9181246047624804E-2</v>
      </c>
      <c r="AX10" s="75">
        <f t="shared" si="19"/>
        <v>0</v>
      </c>
      <c r="AY10" s="59"/>
      <c r="AZ10" s="91">
        <v>-7.9181246047624804E-2</v>
      </c>
      <c r="BA10" s="75">
        <f t="shared" si="21"/>
        <v>0</v>
      </c>
      <c r="BB10" s="59"/>
      <c r="BC10" s="92">
        <v>0</v>
      </c>
      <c r="BD10" s="92">
        <v>0</v>
      </c>
      <c r="BE10" s="71">
        <f t="shared" si="23"/>
        <v>0</v>
      </c>
      <c r="BF10" s="78"/>
      <c r="BG10" s="92">
        <v>0</v>
      </c>
      <c r="BH10" s="71">
        <f t="shared" si="25"/>
        <v>0</v>
      </c>
      <c r="BI10" s="78"/>
      <c r="BJ10" s="93"/>
      <c r="BK10" s="94"/>
    </row>
    <row r="11" spans="1:63" ht="15" customHeight="1">
      <c r="A11" s="95">
        <v>4</v>
      </c>
      <c r="B11" s="82" t="s">
        <v>28</v>
      </c>
      <c r="C11" s="101">
        <v>8.882191780821918</v>
      </c>
      <c r="D11" s="97" t="s">
        <v>0</v>
      </c>
      <c r="E11" s="85">
        <v>-1.25</v>
      </c>
      <c r="F11" s="59">
        <f t="shared" si="0"/>
        <v>-1.5</v>
      </c>
      <c r="G11" s="273">
        <v>42527</v>
      </c>
      <c r="H11" s="54" t="s">
        <v>9</v>
      </c>
      <c r="I11" s="103">
        <v>24.21</v>
      </c>
      <c r="J11" s="56">
        <f t="shared" si="1"/>
        <v>24.33</v>
      </c>
      <c r="K11" s="104">
        <v>24.27</v>
      </c>
      <c r="L11" s="58">
        <f t="shared" ref="L11:L24" si="56">K11-I11</f>
        <v>5.9999999999998721E-2</v>
      </c>
      <c r="M11" s="59">
        <f t="shared" ref="M11" si="57">AVERAGE(L11:L12)</f>
        <v>4.4999999999999929E-2</v>
      </c>
      <c r="N11" s="104">
        <v>24.42</v>
      </c>
      <c r="O11" s="60">
        <f t="shared" ref="O11:O24" si="58">N11-K11</f>
        <v>0.15000000000000213</v>
      </c>
      <c r="P11" s="56">
        <f t="shared" ref="P11" si="59">AVERAGE(O11:O12)</f>
        <v>0.15500000000000114</v>
      </c>
      <c r="Q11" s="104">
        <v>24.6</v>
      </c>
      <c r="R11" s="61">
        <f t="shared" ref="R11:R24" si="60">Q11-K11</f>
        <v>0.33000000000000185</v>
      </c>
      <c r="S11" s="59">
        <f t="shared" ref="S11" si="61">AVERAGE(R11:R12)</f>
        <v>0.33000000000000007</v>
      </c>
      <c r="T11" s="104">
        <v>24.78</v>
      </c>
      <c r="U11" s="60">
        <f t="shared" si="5"/>
        <v>0.51000000000000156</v>
      </c>
      <c r="V11" s="56">
        <f t="shared" ref="V11" si="62">AVERAGE(U11:U12)</f>
        <v>0.50500000000000078</v>
      </c>
      <c r="W11" s="104">
        <v>24.96</v>
      </c>
      <c r="X11" s="61">
        <f t="shared" si="7"/>
        <v>0.69000000000000128</v>
      </c>
      <c r="Y11" s="59">
        <f t="shared" ref="Y11" si="63">AVERAGE(X11:X12)</f>
        <v>0.6850000000000005</v>
      </c>
      <c r="Z11" s="61">
        <f t="shared" si="9"/>
        <v>0.35999999999999943</v>
      </c>
      <c r="AA11" s="59">
        <f t="shared" ref="AA11" si="64">AVERAGE(Z11:Z12)</f>
        <v>0.35500000000000043</v>
      </c>
      <c r="AB11" s="71">
        <v>3194</v>
      </c>
      <c r="AC11" s="99">
        <f t="shared" si="46"/>
        <v>3490.5</v>
      </c>
      <c r="AD11" s="87">
        <v>2994</v>
      </c>
      <c r="AE11" s="87">
        <v>3246</v>
      </c>
      <c r="AF11" s="71">
        <f t="shared" si="11"/>
        <v>252</v>
      </c>
      <c r="AG11" s="78">
        <f t="shared" ref="AG11" si="65">AVERAGE(AF11:AF12)</f>
        <v>277.5</v>
      </c>
      <c r="AH11" s="87">
        <v>2932</v>
      </c>
      <c r="AI11" s="71">
        <f t="shared" si="13"/>
        <v>-62</v>
      </c>
      <c r="AJ11" s="78">
        <f t="shared" ref="AJ11" si="66">AVERAGE(AI11:AI12)</f>
        <v>-206</v>
      </c>
      <c r="AK11" s="88">
        <v>11.5</v>
      </c>
      <c r="AL11" s="78">
        <f t="shared" si="33"/>
        <v>10.75</v>
      </c>
      <c r="AM11" s="89">
        <v>9</v>
      </c>
      <c r="AN11" s="89">
        <v>10.7</v>
      </c>
      <c r="AO11" s="70">
        <f t="shared" si="15"/>
        <v>1.6999999999999993</v>
      </c>
      <c r="AP11" s="78">
        <f t="shared" ref="AP11" si="67">AVERAGE(AO11:AO12)</f>
        <v>1.25</v>
      </c>
      <c r="AQ11" s="89">
        <v>10</v>
      </c>
      <c r="AR11" s="71">
        <f t="shared" si="17"/>
        <v>1</v>
      </c>
      <c r="AS11" s="59">
        <f t="shared" ref="AS11" si="68">AVERAGE(AR11:AR12)</f>
        <v>1.25</v>
      </c>
      <c r="AT11" s="90">
        <v>0.69897000433601886</v>
      </c>
      <c r="AU11" s="73">
        <v>0.84948500216800937</v>
      </c>
      <c r="AV11" s="91">
        <v>-7.9181246047624804E-2</v>
      </c>
      <c r="AW11" s="91">
        <v>-7.9181246047624804E-2</v>
      </c>
      <c r="AX11" s="75">
        <f t="shared" si="19"/>
        <v>0</v>
      </c>
      <c r="AY11" s="59">
        <f t="shared" ref="AY11" si="69">AVERAGE(AX11:AX12)</f>
        <v>-6.2469368304149973E-2</v>
      </c>
      <c r="AZ11" s="91">
        <v>4.5757490560675143E-2</v>
      </c>
      <c r="BA11" s="75">
        <f t="shared" si="21"/>
        <v>0.12493873660829995</v>
      </c>
      <c r="BB11" s="59">
        <f t="shared" ref="BB11" si="70">AVERAGE(BA11:BA12)</f>
        <v>6.2469368304149973E-2</v>
      </c>
      <c r="BC11" s="92">
        <v>0</v>
      </c>
      <c r="BD11" s="92">
        <v>0</v>
      </c>
      <c r="BE11" s="71">
        <f t="shared" si="23"/>
        <v>0</v>
      </c>
      <c r="BF11" s="78">
        <f t="shared" ref="BF11" si="71">AVERAGE(BE11:BE12)</f>
        <v>0</v>
      </c>
      <c r="BG11" s="92">
        <v>0</v>
      </c>
      <c r="BH11" s="71">
        <f t="shared" si="25"/>
        <v>0</v>
      </c>
      <c r="BI11" s="78">
        <f t="shared" ref="BI11" si="72">AVERAGE(BH11:BH12)</f>
        <v>0</v>
      </c>
      <c r="BJ11" s="93">
        <v>96</v>
      </c>
      <c r="BK11" s="94">
        <v>96</v>
      </c>
    </row>
    <row r="12" spans="1:63" ht="15" customHeight="1">
      <c r="A12" s="81"/>
      <c r="B12" s="82"/>
      <c r="C12" s="102"/>
      <c r="D12" s="84"/>
      <c r="E12" s="85">
        <v>-1.75</v>
      </c>
      <c r="F12" s="59"/>
      <c r="G12" s="274"/>
      <c r="H12" s="54" t="s">
        <v>10</v>
      </c>
      <c r="I12" s="103">
        <v>24.45</v>
      </c>
      <c r="J12" s="56"/>
      <c r="K12" s="104">
        <v>24.48</v>
      </c>
      <c r="L12" s="58">
        <f t="shared" si="56"/>
        <v>3.0000000000001137E-2</v>
      </c>
      <c r="M12" s="59"/>
      <c r="N12" s="104">
        <v>24.64</v>
      </c>
      <c r="O12" s="60">
        <f t="shared" si="58"/>
        <v>0.16000000000000014</v>
      </c>
      <c r="P12" s="56"/>
      <c r="Q12" s="104">
        <v>24.81</v>
      </c>
      <c r="R12" s="61">
        <f t="shared" si="60"/>
        <v>0.32999999999999829</v>
      </c>
      <c r="S12" s="59"/>
      <c r="T12" s="104">
        <v>24.98</v>
      </c>
      <c r="U12" s="60">
        <f t="shared" si="5"/>
        <v>0.5</v>
      </c>
      <c r="V12" s="56"/>
      <c r="W12" s="104">
        <v>25.16</v>
      </c>
      <c r="X12" s="61">
        <f t="shared" si="7"/>
        <v>0.67999999999999972</v>
      </c>
      <c r="Y12" s="59"/>
      <c r="Z12" s="61">
        <f t="shared" si="9"/>
        <v>0.35000000000000142</v>
      </c>
      <c r="AA12" s="59"/>
      <c r="AB12" s="71">
        <v>3787</v>
      </c>
      <c r="AC12" s="66"/>
      <c r="AD12" s="87">
        <v>2881</v>
      </c>
      <c r="AE12" s="87">
        <v>3184</v>
      </c>
      <c r="AF12" s="71">
        <f t="shared" si="11"/>
        <v>303</v>
      </c>
      <c r="AG12" s="78"/>
      <c r="AH12" s="87">
        <v>2531</v>
      </c>
      <c r="AI12" s="71">
        <f t="shared" si="13"/>
        <v>-350</v>
      </c>
      <c r="AJ12" s="78"/>
      <c r="AK12" s="88">
        <v>10</v>
      </c>
      <c r="AL12" s="78"/>
      <c r="AM12" s="89">
        <v>9.5</v>
      </c>
      <c r="AN12" s="89">
        <v>10.3</v>
      </c>
      <c r="AO12" s="70">
        <f t="shared" si="15"/>
        <v>0.80000000000000071</v>
      </c>
      <c r="AP12" s="78"/>
      <c r="AQ12" s="89">
        <v>11</v>
      </c>
      <c r="AR12" s="71">
        <f t="shared" si="17"/>
        <v>1.5</v>
      </c>
      <c r="AS12" s="59"/>
      <c r="AT12" s="90">
        <v>1</v>
      </c>
      <c r="AU12" s="73"/>
      <c r="AV12" s="91">
        <v>4.5757490560675143E-2</v>
      </c>
      <c r="AW12" s="91">
        <v>-7.9181246047624804E-2</v>
      </c>
      <c r="AX12" s="75">
        <f t="shared" si="19"/>
        <v>-0.12493873660829995</v>
      </c>
      <c r="AY12" s="59"/>
      <c r="AZ12" s="91">
        <v>4.5757490560675143E-2</v>
      </c>
      <c r="BA12" s="75">
        <f t="shared" si="21"/>
        <v>0</v>
      </c>
      <c r="BB12" s="59"/>
      <c r="BC12" s="92">
        <v>0</v>
      </c>
      <c r="BD12" s="92">
        <v>0</v>
      </c>
      <c r="BE12" s="71">
        <f t="shared" si="23"/>
        <v>0</v>
      </c>
      <c r="BF12" s="78"/>
      <c r="BG12" s="92">
        <v>0</v>
      </c>
      <c r="BH12" s="71">
        <f t="shared" si="25"/>
        <v>0</v>
      </c>
      <c r="BI12" s="78"/>
      <c r="BJ12" s="93"/>
      <c r="BK12" s="94"/>
    </row>
    <row r="13" spans="1:63" ht="15" customHeight="1">
      <c r="A13" s="95">
        <v>5</v>
      </c>
      <c r="B13" s="82" t="s">
        <v>28</v>
      </c>
      <c r="C13" s="101">
        <v>8.8273972602739725</v>
      </c>
      <c r="D13" s="97" t="s">
        <v>0</v>
      </c>
      <c r="E13" s="85">
        <v>-2.5</v>
      </c>
      <c r="F13" s="59">
        <f t="shared" si="0"/>
        <v>-2.375</v>
      </c>
      <c r="G13" s="273">
        <v>42541</v>
      </c>
      <c r="H13" s="54" t="s">
        <v>9</v>
      </c>
      <c r="I13" s="103">
        <v>24.51</v>
      </c>
      <c r="J13" s="56">
        <f t="shared" si="1"/>
        <v>24.5</v>
      </c>
      <c r="K13" s="104">
        <v>24.53</v>
      </c>
      <c r="L13" s="58">
        <f t="shared" si="56"/>
        <v>1.9999999999999574E-2</v>
      </c>
      <c r="M13" s="59">
        <f t="shared" ref="M13" si="73">AVERAGE(L13:L14)</f>
        <v>2.5000000000000355E-2</v>
      </c>
      <c r="N13" s="104">
        <v>24.69</v>
      </c>
      <c r="O13" s="60">
        <f t="shared" si="58"/>
        <v>0.16000000000000014</v>
      </c>
      <c r="P13" s="56">
        <f t="shared" ref="P13" si="74">AVERAGE(O13:O14)</f>
        <v>0.13499999999999979</v>
      </c>
      <c r="Q13" s="104">
        <v>24.75</v>
      </c>
      <c r="R13" s="61">
        <f t="shared" si="60"/>
        <v>0.21999999999999886</v>
      </c>
      <c r="S13" s="59">
        <f t="shared" ref="S13" si="75">AVERAGE(R13:R14)</f>
        <v>0.19500000000000028</v>
      </c>
      <c r="T13" s="104">
        <v>24.82</v>
      </c>
      <c r="U13" s="60">
        <f t="shared" si="5"/>
        <v>0.28999999999999915</v>
      </c>
      <c r="V13" s="56">
        <f t="shared" ref="V13" si="76">AVERAGE(U13:U14)</f>
        <v>0.26500000000000057</v>
      </c>
      <c r="W13" s="104">
        <v>24.92</v>
      </c>
      <c r="X13" s="61">
        <f t="shared" si="7"/>
        <v>0.39000000000000057</v>
      </c>
      <c r="Y13" s="59">
        <f t="shared" ref="Y13" si="77">AVERAGE(X13:X14)</f>
        <v>0.36000000000000121</v>
      </c>
      <c r="Z13" s="61">
        <f t="shared" si="9"/>
        <v>0.17000000000000171</v>
      </c>
      <c r="AA13" s="59">
        <f t="shared" ref="AA13" si="78">AVERAGE(Z13:Z14)</f>
        <v>0.16500000000000092</v>
      </c>
      <c r="AB13" s="71">
        <v>3021</v>
      </c>
      <c r="AC13" s="99">
        <f t="shared" si="46"/>
        <v>3315.5</v>
      </c>
      <c r="AD13" s="87">
        <v>3571</v>
      </c>
      <c r="AE13" s="87">
        <v>3378</v>
      </c>
      <c r="AF13" s="71">
        <f t="shared" si="11"/>
        <v>-193</v>
      </c>
      <c r="AG13" s="78">
        <f t="shared" ref="AG13" si="79">AVERAGE(AF13:AF14)</f>
        <v>-168.5</v>
      </c>
      <c r="AH13" s="87">
        <v>3105</v>
      </c>
      <c r="AI13" s="71">
        <f t="shared" si="13"/>
        <v>-466</v>
      </c>
      <c r="AJ13" s="78">
        <f t="shared" ref="AJ13" si="80">AVERAGE(AI13:AI14)</f>
        <v>-220.5</v>
      </c>
      <c r="AK13" s="88">
        <v>15</v>
      </c>
      <c r="AL13" s="78">
        <f t="shared" si="33"/>
        <v>15</v>
      </c>
      <c r="AM13" s="89">
        <v>15</v>
      </c>
      <c r="AN13" s="89">
        <v>13.7</v>
      </c>
      <c r="AO13" s="70">
        <f t="shared" si="15"/>
        <v>-1.3000000000000007</v>
      </c>
      <c r="AP13" s="78">
        <f t="shared" ref="AP13" si="81">AVERAGE(AO13:AO14)</f>
        <v>-2</v>
      </c>
      <c r="AQ13" s="89">
        <v>14.5</v>
      </c>
      <c r="AR13" s="71">
        <f t="shared" si="17"/>
        <v>-0.5</v>
      </c>
      <c r="AS13" s="59">
        <f t="shared" ref="AS13" si="82">AVERAGE(AR13:AR14)</f>
        <v>-0.75</v>
      </c>
      <c r="AT13" s="90">
        <v>0.82390874094431876</v>
      </c>
      <c r="AU13" s="73">
        <v>0.91195437047215933</v>
      </c>
      <c r="AV13" s="91">
        <v>-7.9181246047624804E-2</v>
      </c>
      <c r="AW13" s="91">
        <v>-7.9181246047624804E-2</v>
      </c>
      <c r="AX13" s="75">
        <f t="shared" si="19"/>
        <v>0</v>
      </c>
      <c r="AY13" s="59">
        <f t="shared" ref="AY13" si="83">AVERAGE(AX13:AX14)</f>
        <v>-3.9590623023812402E-2</v>
      </c>
      <c r="AZ13" s="91">
        <v>-7.9181246047624804E-2</v>
      </c>
      <c r="BA13" s="75">
        <f t="shared" si="21"/>
        <v>0</v>
      </c>
      <c r="BB13" s="59">
        <f t="shared" ref="BB13" si="84">AVERAGE(BA13:BA14)</f>
        <v>0</v>
      </c>
      <c r="BC13" s="92">
        <v>-7.9181246047624804E-2</v>
      </c>
      <c r="BD13" s="92">
        <v>0</v>
      </c>
      <c r="BE13" s="71">
        <f t="shared" si="23"/>
        <v>7.9181246047624804E-2</v>
      </c>
      <c r="BF13" s="78">
        <f t="shared" ref="BF13" si="85">AVERAGE(BE13:BE14)</f>
        <v>7.9181246047624804E-2</v>
      </c>
      <c r="BG13" s="92">
        <v>0</v>
      </c>
      <c r="BH13" s="71">
        <f t="shared" si="25"/>
        <v>7.9181246047624804E-2</v>
      </c>
      <c r="BI13" s="78">
        <f t="shared" ref="BI13" si="86">AVERAGE(BH13:BH14)</f>
        <v>7.9181246047624804E-2</v>
      </c>
      <c r="BJ13" s="93">
        <v>79</v>
      </c>
      <c r="BK13" s="94">
        <v>78</v>
      </c>
    </row>
    <row r="14" spans="1:63" ht="15" customHeight="1">
      <c r="A14" s="81"/>
      <c r="B14" s="82"/>
      <c r="C14" s="102"/>
      <c r="D14" s="84"/>
      <c r="E14" s="85">
        <v>-2.25</v>
      </c>
      <c r="F14" s="59"/>
      <c r="G14" s="274"/>
      <c r="H14" s="54" t="s">
        <v>10</v>
      </c>
      <c r="I14" s="103">
        <v>24.49</v>
      </c>
      <c r="J14" s="56"/>
      <c r="K14" s="104">
        <v>24.52</v>
      </c>
      <c r="L14" s="58">
        <f t="shared" si="56"/>
        <v>3.0000000000001137E-2</v>
      </c>
      <c r="M14" s="59"/>
      <c r="N14" s="104">
        <v>24.63</v>
      </c>
      <c r="O14" s="60">
        <f t="shared" si="58"/>
        <v>0.10999999999999943</v>
      </c>
      <c r="P14" s="56"/>
      <c r="Q14" s="104">
        <v>24.69</v>
      </c>
      <c r="R14" s="61">
        <f t="shared" si="60"/>
        <v>0.17000000000000171</v>
      </c>
      <c r="S14" s="59"/>
      <c r="T14" s="104">
        <v>24.76</v>
      </c>
      <c r="U14" s="60">
        <f t="shared" si="5"/>
        <v>0.24000000000000199</v>
      </c>
      <c r="V14" s="56"/>
      <c r="W14" s="104">
        <v>24.85</v>
      </c>
      <c r="X14" s="61">
        <f t="shared" si="7"/>
        <v>0.33000000000000185</v>
      </c>
      <c r="Y14" s="59"/>
      <c r="Z14" s="61">
        <f t="shared" si="9"/>
        <v>0.16000000000000014</v>
      </c>
      <c r="AA14" s="59"/>
      <c r="AB14" s="71">
        <v>3610</v>
      </c>
      <c r="AC14" s="66"/>
      <c r="AD14" s="87">
        <v>3533</v>
      </c>
      <c r="AE14" s="87">
        <v>3389</v>
      </c>
      <c r="AF14" s="71">
        <f t="shared" si="11"/>
        <v>-144</v>
      </c>
      <c r="AG14" s="78"/>
      <c r="AH14" s="87">
        <v>3558</v>
      </c>
      <c r="AI14" s="71">
        <f t="shared" si="13"/>
        <v>25</v>
      </c>
      <c r="AJ14" s="78"/>
      <c r="AK14" s="88">
        <v>15</v>
      </c>
      <c r="AL14" s="78"/>
      <c r="AM14" s="89">
        <v>15</v>
      </c>
      <c r="AN14" s="89">
        <v>12.3</v>
      </c>
      <c r="AO14" s="70">
        <f t="shared" si="15"/>
        <v>-2.6999999999999993</v>
      </c>
      <c r="AP14" s="78"/>
      <c r="AQ14" s="89">
        <v>14</v>
      </c>
      <c r="AR14" s="71">
        <f t="shared" si="17"/>
        <v>-1</v>
      </c>
      <c r="AS14" s="59"/>
      <c r="AT14" s="90">
        <v>1</v>
      </c>
      <c r="AU14" s="73"/>
      <c r="AV14" s="91">
        <v>0</v>
      </c>
      <c r="AW14" s="91">
        <v>-7.9181246047624804E-2</v>
      </c>
      <c r="AX14" s="75">
        <f t="shared" si="19"/>
        <v>-7.9181246047624804E-2</v>
      </c>
      <c r="AY14" s="59"/>
      <c r="AZ14" s="91">
        <v>0</v>
      </c>
      <c r="BA14" s="75">
        <f t="shared" si="21"/>
        <v>0</v>
      </c>
      <c r="BB14" s="59"/>
      <c r="BC14" s="92">
        <v>-7.9181246047624804E-2</v>
      </c>
      <c r="BD14" s="92">
        <v>0</v>
      </c>
      <c r="BE14" s="71">
        <f t="shared" si="23"/>
        <v>7.9181246047624804E-2</v>
      </c>
      <c r="BF14" s="78"/>
      <c r="BG14" s="92">
        <v>0</v>
      </c>
      <c r="BH14" s="71">
        <f t="shared" si="25"/>
        <v>7.9181246047624804E-2</v>
      </c>
      <c r="BI14" s="78"/>
      <c r="BJ14" s="93"/>
      <c r="BK14" s="94"/>
    </row>
    <row r="15" spans="1:63" ht="15" customHeight="1">
      <c r="A15" s="95">
        <v>6</v>
      </c>
      <c r="B15" s="82" t="s">
        <v>28</v>
      </c>
      <c r="C15" s="101">
        <v>8.1397260273972609</v>
      </c>
      <c r="D15" s="97" t="s">
        <v>0</v>
      </c>
      <c r="E15" s="85">
        <v>-1.5</v>
      </c>
      <c r="F15" s="59">
        <f t="shared" si="0"/>
        <v>-1.4125000000000001</v>
      </c>
      <c r="G15" s="273">
        <v>42548</v>
      </c>
      <c r="H15" s="54" t="s">
        <v>9</v>
      </c>
      <c r="I15" s="103">
        <v>24.51</v>
      </c>
      <c r="J15" s="56">
        <f t="shared" si="1"/>
        <v>24.46</v>
      </c>
      <c r="K15" s="104">
        <v>24.63</v>
      </c>
      <c r="L15" s="58">
        <f t="shared" si="56"/>
        <v>0.11999999999999744</v>
      </c>
      <c r="M15" s="59">
        <f t="shared" ref="M15" si="87">AVERAGE(L15:L16)</f>
        <v>9.9999999999997868E-2</v>
      </c>
      <c r="N15" s="104">
        <v>24.72</v>
      </c>
      <c r="O15" s="60">
        <f t="shared" si="58"/>
        <v>8.9999999999999858E-2</v>
      </c>
      <c r="P15" s="56">
        <f t="shared" ref="P15" si="88">AVERAGE(O15:O16)</f>
        <v>0.11000000000000121</v>
      </c>
      <c r="Q15" s="104">
        <v>24.88</v>
      </c>
      <c r="R15" s="61">
        <f t="shared" si="60"/>
        <v>0.25</v>
      </c>
      <c r="S15" s="59">
        <f t="shared" ref="S15" si="89">AVERAGE(R15:R16)</f>
        <v>0.26500000000000057</v>
      </c>
      <c r="T15" s="104">
        <v>24.99</v>
      </c>
      <c r="U15" s="60">
        <f t="shared" si="5"/>
        <v>0.35999999999999943</v>
      </c>
      <c r="V15" s="56">
        <f t="shared" ref="V15" si="90">AVERAGE(U15:U16)</f>
        <v>0.39500000000000135</v>
      </c>
      <c r="W15" s="104">
        <v>25.02</v>
      </c>
      <c r="X15" s="61">
        <f t="shared" si="7"/>
        <v>0.39000000000000057</v>
      </c>
      <c r="Y15" s="59">
        <f t="shared" ref="Y15" si="91">AVERAGE(X15:X16)</f>
        <v>0.4350000000000005</v>
      </c>
      <c r="Z15" s="61">
        <f t="shared" si="9"/>
        <v>0.14000000000000057</v>
      </c>
      <c r="AA15" s="59">
        <f t="shared" ref="AA15" si="92">AVERAGE(Z15:Z16)</f>
        <v>0.16999999999999993</v>
      </c>
      <c r="AB15" s="71">
        <v>3508</v>
      </c>
      <c r="AC15" s="99">
        <f t="shared" si="46"/>
        <v>3496</v>
      </c>
      <c r="AD15" s="87">
        <v>3472</v>
      </c>
      <c r="AE15" s="87">
        <v>3401</v>
      </c>
      <c r="AF15" s="71">
        <f t="shared" si="11"/>
        <v>-71</v>
      </c>
      <c r="AG15" s="78">
        <f t="shared" ref="AG15" si="93">AVERAGE(AF15:AF16)</f>
        <v>62.5</v>
      </c>
      <c r="AH15" s="87">
        <v>3378</v>
      </c>
      <c r="AI15" s="71">
        <f t="shared" si="13"/>
        <v>-94</v>
      </c>
      <c r="AJ15" s="78">
        <f t="shared" ref="AJ15" si="94">AVERAGE(AI15:AI16)</f>
        <v>162</v>
      </c>
      <c r="AK15" s="88">
        <v>13</v>
      </c>
      <c r="AL15" s="78">
        <f t="shared" si="33"/>
        <v>13</v>
      </c>
      <c r="AM15" s="89">
        <v>13</v>
      </c>
      <c r="AN15" s="89">
        <v>15</v>
      </c>
      <c r="AO15" s="70">
        <f t="shared" si="15"/>
        <v>2</v>
      </c>
      <c r="AP15" s="78">
        <f t="shared" ref="AP15" si="95">AVERAGE(AO15:AO16)</f>
        <v>1.25</v>
      </c>
      <c r="AQ15" s="89">
        <v>14.3</v>
      </c>
      <c r="AR15" s="71">
        <f t="shared" si="17"/>
        <v>1.3000000000000007</v>
      </c>
      <c r="AS15" s="59">
        <f t="shared" ref="AS15" si="96">AVERAGE(AR15:AR16)</f>
        <v>-0.34999999999999964</v>
      </c>
      <c r="AT15" s="90">
        <v>0.52287874528033762</v>
      </c>
      <c r="AU15" s="73">
        <v>0.52287874528033762</v>
      </c>
      <c r="AV15" s="91">
        <v>-7.9181246047624804E-2</v>
      </c>
      <c r="AW15" s="91">
        <v>-7.9181246047624804E-2</v>
      </c>
      <c r="AX15" s="75">
        <f t="shared" si="19"/>
        <v>0</v>
      </c>
      <c r="AY15" s="59">
        <f t="shared" ref="AY15" si="97">AVERAGE(AX15:AX16)</f>
        <v>0</v>
      </c>
      <c r="AZ15" s="91">
        <v>-7.9181246047624804E-2</v>
      </c>
      <c r="BA15" s="75">
        <f t="shared" si="21"/>
        <v>0</v>
      </c>
      <c r="BB15" s="59">
        <f t="shared" ref="BB15" si="98">AVERAGE(BA15:BA16)</f>
        <v>0</v>
      </c>
      <c r="BC15" s="92">
        <v>0</v>
      </c>
      <c r="BD15" s="92">
        <v>0</v>
      </c>
      <c r="BE15" s="71">
        <f t="shared" si="23"/>
        <v>0</v>
      </c>
      <c r="BF15" s="78">
        <f t="shared" ref="BF15" si="99">AVERAGE(BE15:BE16)</f>
        <v>0</v>
      </c>
      <c r="BG15" s="92">
        <v>4.5757490560675143E-2</v>
      </c>
      <c r="BH15" s="71">
        <f t="shared" si="25"/>
        <v>4.5757490560675143E-2</v>
      </c>
      <c r="BI15" s="78">
        <f t="shared" ref="BI15" si="100">AVERAGE(BH15:BH16)</f>
        <v>4.5757490560675143E-2</v>
      </c>
      <c r="BJ15" s="93">
        <v>98</v>
      </c>
      <c r="BK15" s="94">
        <v>97</v>
      </c>
    </row>
    <row r="16" spans="1:63" ht="15" customHeight="1">
      <c r="A16" s="81"/>
      <c r="B16" s="82"/>
      <c r="C16" s="102"/>
      <c r="D16" s="84"/>
      <c r="E16" s="85">
        <v>-1.325</v>
      </c>
      <c r="F16" s="59"/>
      <c r="G16" s="274"/>
      <c r="H16" s="54" t="s">
        <v>10</v>
      </c>
      <c r="I16" s="103">
        <v>24.41</v>
      </c>
      <c r="J16" s="56"/>
      <c r="K16" s="104">
        <v>24.49</v>
      </c>
      <c r="L16" s="58">
        <f t="shared" si="56"/>
        <v>7.9999999999998295E-2</v>
      </c>
      <c r="M16" s="59"/>
      <c r="N16" s="104">
        <v>24.62</v>
      </c>
      <c r="O16" s="60">
        <f t="shared" si="58"/>
        <v>0.13000000000000256</v>
      </c>
      <c r="P16" s="56"/>
      <c r="Q16" s="104">
        <v>24.77</v>
      </c>
      <c r="R16" s="61">
        <f t="shared" si="60"/>
        <v>0.28000000000000114</v>
      </c>
      <c r="S16" s="59"/>
      <c r="T16" s="104">
        <v>24.92</v>
      </c>
      <c r="U16" s="60">
        <f t="shared" si="5"/>
        <v>0.43000000000000327</v>
      </c>
      <c r="V16" s="56"/>
      <c r="W16" s="104">
        <v>24.97</v>
      </c>
      <c r="X16" s="61">
        <f t="shared" si="7"/>
        <v>0.48000000000000043</v>
      </c>
      <c r="Y16" s="59"/>
      <c r="Z16" s="61">
        <f t="shared" si="9"/>
        <v>0.19999999999999929</v>
      </c>
      <c r="AA16" s="59"/>
      <c r="AB16" s="71">
        <v>3484</v>
      </c>
      <c r="AC16" s="66"/>
      <c r="AD16" s="87">
        <v>3205</v>
      </c>
      <c r="AE16" s="87">
        <v>3401</v>
      </c>
      <c r="AF16" s="71">
        <f t="shared" si="11"/>
        <v>196</v>
      </c>
      <c r="AG16" s="78"/>
      <c r="AH16" s="87">
        <v>3623</v>
      </c>
      <c r="AI16" s="71">
        <f t="shared" si="13"/>
        <v>418</v>
      </c>
      <c r="AJ16" s="78"/>
      <c r="AK16" s="88">
        <v>13</v>
      </c>
      <c r="AL16" s="78"/>
      <c r="AM16" s="89">
        <v>15.5</v>
      </c>
      <c r="AN16" s="89">
        <v>16</v>
      </c>
      <c r="AO16" s="70">
        <f t="shared" si="15"/>
        <v>0.5</v>
      </c>
      <c r="AP16" s="78"/>
      <c r="AQ16" s="89">
        <v>13.5</v>
      </c>
      <c r="AR16" s="71">
        <f t="shared" si="17"/>
        <v>-2</v>
      </c>
      <c r="AS16" s="59"/>
      <c r="AT16" s="90">
        <v>0.52287874528033762</v>
      </c>
      <c r="AU16" s="73"/>
      <c r="AV16" s="91">
        <v>-7.9181246047624804E-2</v>
      </c>
      <c r="AW16" s="91">
        <v>-7.9181246047624804E-2</v>
      </c>
      <c r="AX16" s="75">
        <f t="shared" si="19"/>
        <v>0</v>
      </c>
      <c r="AY16" s="59"/>
      <c r="AZ16" s="91">
        <v>-7.9181246047624804E-2</v>
      </c>
      <c r="BA16" s="75">
        <f t="shared" si="21"/>
        <v>0</v>
      </c>
      <c r="BB16" s="59"/>
      <c r="BC16" s="92">
        <v>0</v>
      </c>
      <c r="BD16" s="92">
        <v>0</v>
      </c>
      <c r="BE16" s="71">
        <f t="shared" si="23"/>
        <v>0</v>
      </c>
      <c r="BF16" s="78"/>
      <c r="BG16" s="92">
        <v>4.5757490560675143E-2</v>
      </c>
      <c r="BH16" s="71">
        <f t="shared" si="25"/>
        <v>4.5757490560675143E-2</v>
      </c>
      <c r="BI16" s="78"/>
      <c r="BJ16" s="93"/>
      <c r="BK16" s="94"/>
    </row>
    <row r="17" spans="1:63" ht="15" customHeight="1">
      <c r="A17" s="95">
        <v>7</v>
      </c>
      <c r="B17" s="82" t="s">
        <v>28</v>
      </c>
      <c r="C17" s="101">
        <v>9.1972602739726028</v>
      </c>
      <c r="D17" s="97" t="s">
        <v>1</v>
      </c>
      <c r="E17" s="85">
        <v>-2.5</v>
      </c>
      <c r="F17" s="59">
        <f t="shared" si="0"/>
        <v>-2.375</v>
      </c>
      <c r="G17" s="273">
        <v>42604</v>
      </c>
      <c r="H17" s="54" t="s">
        <v>9</v>
      </c>
      <c r="I17" s="103">
        <v>24.18</v>
      </c>
      <c r="J17" s="56">
        <f t="shared" si="1"/>
        <v>24.2</v>
      </c>
      <c r="K17" s="104">
        <v>24.21</v>
      </c>
      <c r="L17" s="58">
        <f t="shared" si="56"/>
        <v>3.0000000000001137E-2</v>
      </c>
      <c r="M17" s="59">
        <f t="shared" ref="M17" si="101">AVERAGE(L17:L18)</f>
        <v>5.5000000000001492E-2</v>
      </c>
      <c r="N17" s="104">
        <v>24.22</v>
      </c>
      <c r="O17" s="60">
        <f t="shared" si="58"/>
        <v>9.9999999999980105E-3</v>
      </c>
      <c r="P17" s="56">
        <f t="shared" ref="P17" si="102">AVERAGE(O17:O18)</f>
        <v>-4.0000000000000924E-2</v>
      </c>
      <c r="Q17" s="104">
        <v>24.21</v>
      </c>
      <c r="R17" s="61">
        <f t="shared" si="60"/>
        <v>0</v>
      </c>
      <c r="S17" s="59">
        <f t="shared" ref="S17" si="103">AVERAGE(R17:R18)</f>
        <v>-1.5000000000000568E-2</v>
      </c>
      <c r="T17" s="104">
        <v>24.27</v>
      </c>
      <c r="U17" s="60">
        <f t="shared" si="5"/>
        <v>5.9999999999998721E-2</v>
      </c>
      <c r="V17" s="56">
        <f t="shared" ref="V17" si="104">AVERAGE(U17:U18)</f>
        <v>4.9999999999998934E-2</v>
      </c>
      <c r="W17" s="104">
        <v>24.35</v>
      </c>
      <c r="X17" s="61">
        <f t="shared" si="7"/>
        <v>0.14000000000000057</v>
      </c>
      <c r="Y17" s="98">
        <f t="shared" ref="Y17" si="105">AVERAGE(X17:X18)</f>
        <v>0.11999999999999922</v>
      </c>
      <c r="Z17" s="61">
        <f t="shared" si="9"/>
        <v>0.14000000000000057</v>
      </c>
      <c r="AA17" s="98">
        <f t="shared" ref="AA17" si="106">AVERAGE(Z17:Z18)</f>
        <v>0.13499999999999979</v>
      </c>
      <c r="AB17" s="71">
        <v>3597</v>
      </c>
      <c r="AC17" s="99">
        <f t="shared" si="46"/>
        <v>3699.5</v>
      </c>
      <c r="AD17" s="87">
        <v>3759</v>
      </c>
      <c r="AE17" s="87">
        <v>3436</v>
      </c>
      <c r="AF17" s="71">
        <f t="shared" si="11"/>
        <v>-323</v>
      </c>
      <c r="AG17" s="78">
        <f t="shared" ref="AG17" si="107">AVERAGE(AF17:AF18)</f>
        <v>-1</v>
      </c>
      <c r="AH17" s="87">
        <v>3690</v>
      </c>
      <c r="AI17" s="71">
        <f t="shared" si="13"/>
        <v>-69</v>
      </c>
      <c r="AJ17" s="78">
        <f t="shared" ref="AJ17" si="108">AVERAGE(AI17:AI18)</f>
        <v>-4.5</v>
      </c>
      <c r="AK17" s="88">
        <v>17</v>
      </c>
      <c r="AL17" s="78">
        <f t="shared" si="33"/>
        <v>15.75</v>
      </c>
      <c r="AM17" s="89">
        <v>16</v>
      </c>
      <c r="AN17" s="89">
        <v>16.5</v>
      </c>
      <c r="AO17" s="70">
        <f t="shared" si="15"/>
        <v>0.5</v>
      </c>
      <c r="AP17" s="78">
        <f t="shared" ref="AP17" si="109">AVERAGE(AO17:AO18)</f>
        <v>-1.5</v>
      </c>
      <c r="AQ17" s="89">
        <v>14.3</v>
      </c>
      <c r="AR17" s="71">
        <f t="shared" si="17"/>
        <v>-1.6999999999999993</v>
      </c>
      <c r="AS17" s="59">
        <f t="shared" ref="AS17" si="110">AVERAGE(AR17:AR18)</f>
        <v>-3.8499999999999996</v>
      </c>
      <c r="AT17" s="90">
        <v>0.82390874094431876</v>
      </c>
      <c r="AU17" s="73">
        <v>0.76143937264016881</v>
      </c>
      <c r="AV17" s="91">
        <v>-7.9181246047624804E-2</v>
      </c>
      <c r="AW17" s="91">
        <v>-7.9181246047624804E-2</v>
      </c>
      <c r="AX17" s="75">
        <f t="shared" si="19"/>
        <v>0</v>
      </c>
      <c r="AY17" s="59">
        <f t="shared" ref="AY17" si="111">AVERAGE(AX17:AX18)</f>
        <v>0</v>
      </c>
      <c r="AZ17" s="91">
        <v>-7.9181246047624804E-2</v>
      </c>
      <c r="BA17" s="75">
        <f t="shared" si="21"/>
        <v>0</v>
      </c>
      <c r="BB17" s="59">
        <f t="shared" ref="BB17" si="112">AVERAGE(BA17:BA18)</f>
        <v>0</v>
      </c>
      <c r="BC17" s="92">
        <v>0</v>
      </c>
      <c r="BD17" s="92">
        <v>-7.9181246047624804E-2</v>
      </c>
      <c r="BE17" s="71">
        <f t="shared" si="23"/>
        <v>-7.9181246047624804E-2</v>
      </c>
      <c r="BF17" s="78">
        <f t="shared" ref="BF17" si="113">AVERAGE(BE17:BE18)</f>
        <v>-7.9181246047624804E-2</v>
      </c>
      <c r="BG17" s="92">
        <v>-7.9181246047624804E-2</v>
      </c>
      <c r="BH17" s="71">
        <f t="shared" si="25"/>
        <v>-7.9181246047624804E-2</v>
      </c>
      <c r="BI17" s="78">
        <f t="shared" ref="BI17" si="114">AVERAGE(BH17:BH18)</f>
        <v>-7.9181246047624804E-2</v>
      </c>
      <c r="BJ17" s="93">
        <v>96</v>
      </c>
      <c r="BK17" s="94">
        <v>98</v>
      </c>
    </row>
    <row r="18" spans="1:63" ht="15" customHeight="1">
      <c r="A18" s="81"/>
      <c r="B18" s="82"/>
      <c r="C18" s="102"/>
      <c r="D18" s="84"/>
      <c r="E18" s="85">
        <v>-2.25</v>
      </c>
      <c r="F18" s="59"/>
      <c r="G18" s="274"/>
      <c r="H18" s="54" t="s">
        <v>10</v>
      </c>
      <c r="I18" s="103">
        <v>24.22</v>
      </c>
      <c r="J18" s="56"/>
      <c r="K18" s="104">
        <v>24.3</v>
      </c>
      <c r="L18" s="58">
        <f t="shared" si="56"/>
        <v>8.0000000000001847E-2</v>
      </c>
      <c r="M18" s="59"/>
      <c r="N18" s="104">
        <v>24.21</v>
      </c>
      <c r="O18" s="60">
        <f t="shared" si="58"/>
        <v>-8.9999999999999858E-2</v>
      </c>
      <c r="P18" s="56"/>
      <c r="Q18" s="104">
        <v>24.27</v>
      </c>
      <c r="R18" s="61">
        <f t="shared" si="60"/>
        <v>-3.0000000000001137E-2</v>
      </c>
      <c r="S18" s="59"/>
      <c r="T18" s="104">
        <v>24.34</v>
      </c>
      <c r="U18" s="60">
        <f t="shared" si="5"/>
        <v>3.9999999999999147E-2</v>
      </c>
      <c r="V18" s="56"/>
      <c r="W18" s="104">
        <v>24.4</v>
      </c>
      <c r="X18" s="61">
        <f t="shared" si="7"/>
        <v>9.9999999999997868E-2</v>
      </c>
      <c r="Y18" s="100"/>
      <c r="Z18" s="61">
        <f t="shared" si="9"/>
        <v>0.12999999999999901</v>
      </c>
      <c r="AA18" s="100"/>
      <c r="AB18" s="71">
        <v>3802</v>
      </c>
      <c r="AC18" s="66"/>
      <c r="AD18" s="87">
        <v>3424</v>
      </c>
      <c r="AE18" s="87">
        <v>3745</v>
      </c>
      <c r="AF18" s="71">
        <f t="shared" si="11"/>
        <v>321</v>
      </c>
      <c r="AG18" s="78"/>
      <c r="AH18" s="87">
        <v>3484</v>
      </c>
      <c r="AI18" s="71">
        <f t="shared" si="13"/>
        <v>60</v>
      </c>
      <c r="AJ18" s="78"/>
      <c r="AK18" s="88">
        <v>14.5</v>
      </c>
      <c r="AL18" s="78"/>
      <c r="AM18" s="89">
        <v>19</v>
      </c>
      <c r="AN18" s="89">
        <v>15.5</v>
      </c>
      <c r="AO18" s="70">
        <f t="shared" si="15"/>
        <v>-3.5</v>
      </c>
      <c r="AP18" s="78"/>
      <c r="AQ18" s="89">
        <v>13</v>
      </c>
      <c r="AR18" s="71">
        <f t="shared" si="17"/>
        <v>-6</v>
      </c>
      <c r="AS18" s="59"/>
      <c r="AT18" s="90">
        <v>0.69897000433601886</v>
      </c>
      <c r="AU18" s="73"/>
      <c r="AV18" s="91">
        <v>-7.9181246047624804E-2</v>
      </c>
      <c r="AW18" s="91">
        <v>-7.9181246047624804E-2</v>
      </c>
      <c r="AX18" s="75">
        <f t="shared" si="19"/>
        <v>0</v>
      </c>
      <c r="AY18" s="59"/>
      <c r="AZ18" s="91">
        <v>-7.9181246047624804E-2</v>
      </c>
      <c r="BA18" s="75">
        <f t="shared" si="21"/>
        <v>0</v>
      </c>
      <c r="BB18" s="59"/>
      <c r="BC18" s="92">
        <v>0</v>
      </c>
      <c r="BD18" s="92">
        <v>-7.9181246047624804E-2</v>
      </c>
      <c r="BE18" s="71">
        <f t="shared" si="23"/>
        <v>-7.9181246047624804E-2</v>
      </c>
      <c r="BF18" s="78"/>
      <c r="BG18" s="92">
        <v>-7.9181246047624804E-2</v>
      </c>
      <c r="BH18" s="71">
        <f t="shared" si="25"/>
        <v>-7.9181246047624804E-2</v>
      </c>
      <c r="BI18" s="78"/>
      <c r="BJ18" s="93"/>
      <c r="BK18" s="94"/>
    </row>
    <row r="19" spans="1:63" ht="15" customHeight="1">
      <c r="A19" s="95">
        <v>8</v>
      </c>
      <c r="B19" s="82" t="s">
        <v>28</v>
      </c>
      <c r="C19" s="101">
        <v>9.7808219178082183</v>
      </c>
      <c r="D19" s="97" t="s">
        <v>1</v>
      </c>
      <c r="E19" s="85">
        <v>-1.25</v>
      </c>
      <c r="F19" s="59">
        <f t="shared" si="0"/>
        <v>-1.375</v>
      </c>
      <c r="G19" s="273">
        <v>42606</v>
      </c>
      <c r="H19" s="54" t="s">
        <v>9</v>
      </c>
      <c r="I19" s="103">
        <v>23.96</v>
      </c>
      <c r="J19" s="56">
        <f t="shared" si="1"/>
        <v>23.9</v>
      </c>
      <c r="K19" s="104">
        <v>24</v>
      </c>
      <c r="L19" s="58">
        <f t="shared" si="56"/>
        <v>3.9999999999999147E-2</v>
      </c>
      <c r="M19" s="59">
        <f t="shared" ref="M19" si="115">AVERAGE(L19:L20)</f>
        <v>2.9999999999999361E-2</v>
      </c>
      <c r="N19" s="104">
        <v>24.06</v>
      </c>
      <c r="O19" s="60">
        <f t="shared" si="58"/>
        <v>5.9999999999998721E-2</v>
      </c>
      <c r="P19" s="56">
        <f t="shared" ref="P19" si="116">AVERAGE(O19:O20)</f>
        <v>8.0000000000000071E-2</v>
      </c>
      <c r="Q19" s="104">
        <v>24.06</v>
      </c>
      <c r="R19" s="61">
        <f t="shared" si="60"/>
        <v>5.9999999999998721E-2</v>
      </c>
      <c r="S19" s="59">
        <f t="shared" ref="S19" si="117">AVERAGE(R19:R20)</f>
        <v>8.4999999999999076E-2</v>
      </c>
      <c r="T19" s="104">
        <v>24.12</v>
      </c>
      <c r="U19" s="60">
        <f t="shared" si="5"/>
        <v>0.12000000000000099</v>
      </c>
      <c r="V19" s="56">
        <f t="shared" ref="V19" si="118">AVERAGE(U19:U20)</f>
        <v>0.14500000000000135</v>
      </c>
      <c r="W19" s="104">
        <v>24.15</v>
      </c>
      <c r="X19" s="61">
        <f t="shared" si="7"/>
        <v>0.14999999999999858</v>
      </c>
      <c r="Y19" s="98">
        <f t="shared" ref="Y19" si="119">AVERAGE(X19:X20)</f>
        <v>0.16999999999999993</v>
      </c>
      <c r="Z19" s="61">
        <f t="shared" si="9"/>
        <v>8.9999999999999858E-2</v>
      </c>
      <c r="AA19" s="98">
        <f t="shared" ref="AA19" si="120">AVERAGE(Z19:Z20)</f>
        <v>8.5000000000000853E-2</v>
      </c>
      <c r="AB19" s="71">
        <v>3937</v>
      </c>
      <c r="AC19" s="99">
        <f t="shared" si="46"/>
        <v>3722.5</v>
      </c>
      <c r="AD19" s="87">
        <v>3584</v>
      </c>
      <c r="AE19" s="87">
        <v>4184</v>
      </c>
      <c r="AF19" s="71">
        <f t="shared" si="11"/>
        <v>600</v>
      </c>
      <c r="AG19" s="78">
        <f t="shared" ref="AG19" si="121">AVERAGE(AF19:AF20)</f>
        <v>501.5</v>
      </c>
      <c r="AH19" s="87">
        <v>4065</v>
      </c>
      <c r="AI19" s="71">
        <f t="shared" si="13"/>
        <v>481</v>
      </c>
      <c r="AJ19" s="78">
        <f t="shared" ref="AJ19" si="122">AVERAGE(AI19:AI20)</f>
        <v>363</v>
      </c>
      <c r="AK19" s="88">
        <v>11</v>
      </c>
      <c r="AL19" s="78">
        <f t="shared" si="33"/>
        <v>12</v>
      </c>
      <c r="AM19" s="89">
        <v>11.5</v>
      </c>
      <c r="AN19" s="89">
        <v>11</v>
      </c>
      <c r="AO19" s="70">
        <f t="shared" si="15"/>
        <v>-0.5</v>
      </c>
      <c r="AP19" s="78">
        <f t="shared" ref="AP19" si="123">AVERAGE(AO19:AO20)</f>
        <v>0.25</v>
      </c>
      <c r="AQ19" s="89">
        <v>12.7</v>
      </c>
      <c r="AR19" s="71">
        <f t="shared" si="17"/>
        <v>1.1999999999999993</v>
      </c>
      <c r="AS19" s="59">
        <f t="shared" ref="AS19" si="124">AVERAGE(AR19:AR20)</f>
        <v>1.9499999999999993</v>
      </c>
      <c r="AT19" s="90">
        <v>0.52287874528033762</v>
      </c>
      <c r="AU19" s="73">
        <v>0.52287874528033762</v>
      </c>
      <c r="AV19" s="91">
        <v>-7.9181246047624804E-2</v>
      </c>
      <c r="AW19" s="91">
        <v>-7.9181246047624804E-2</v>
      </c>
      <c r="AX19" s="75">
        <f t="shared" si="19"/>
        <v>0</v>
      </c>
      <c r="AY19" s="59">
        <f t="shared" ref="AY19" si="125">AVERAGE(AX19:AX20)</f>
        <v>0</v>
      </c>
      <c r="AZ19" s="91">
        <v>-7.9181246047624804E-2</v>
      </c>
      <c r="BA19" s="75">
        <f t="shared" si="21"/>
        <v>0</v>
      </c>
      <c r="BB19" s="59">
        <f t="shared" ref="BB19" si="126">AVERAGE(BA19:BA20)</f>
        <v>0</v>
      </c>
      <c r="BC19" s="92">
        <v>0</v>
      </c>
      <c r="BD19" s="92">
        <v>0</v>
      </c>
      <c r="BE19" s="71">
        <f t="shared" si="23"/>
        <v>0</v>
      </c>
      <c r="BF19" s="78">
        <f t="shared" ref="BF19" si="127">AVERAGE(BE19:BE20)</f>
        <v>0</v>
      </c>
      <c r="BG19" s="92">
        <v>0</v>
      </c>
      <c r="BH19" s="71">
        <f t="shared" si="25"/>
        <v>0</v>
      </c>
      <c r="BI19" s="78">
        <f t="shared" ref="BI19" si="128">AVERAGE(BH19:BH20)</f>
        <v>0</v>
      </c>
      <c r="BJ19" s="93">
        <v>71</v>
      </c>
      <c r="BK19" s="94">
        <v>71</v>
      </c>
    </row>
    <row r="20" spans="1:63" ht="15" customHeight="1">
      <c r="A20" s="81"/>
      <c r="B20" s="82"/>
      <c r="C20" s="102"/>
      <c r="D20" s="84"/>
      <c r="E20" s="85">
        <v>-1.5</v>
      </c>
      <c r="F20" s="59"/>
      <c r="G20" s="274"/>
      <c r="H20" s="54" t="s">
        <v>10</v>
      </c>
      <c r="I20" s="103">
        <v>23.84</v>
      </c>
      <c r="J20" s="56"/>
      <c r="K20" s="104">
        <v>23.86</v>
      </c>
      <c r="L20" s="58">
        <f t="shared" si="56"/>
        <v>1.9999999999999574E-2</v>
      </c>
      <c r="M20" s="59"/>
      <c r="N20" s="104">
        <v>23.96</v>
      </c>
      <c r="O20" s="60">
        <f t="shared" si="58"/>
        <v>0.10000000000000142</v>
      </c>
      <c r="P20" s="56"/>
      <c r="Q20" s="104">
        <v>23.97</v>
      </c>
      <c r="R20" s="61">
        <f t="shared" si="60"/>
        <v>0.10999999999999943</v>
      </c>
      <c r="S20" s="59"/>
      <c r="T20" s="104">
        <v>24.03</v>
      </c>
      <c r="U20" s="60">
        <f t="shared" si="5"/>
        <v>0.17000000000000171</v>
      </c>
      <c r="V20" s="56"/>
      <c r="W20" s="104">
        <v>24.05</v>
      </c>
      <c r="X20" s="61">
        <f t="shared" si="7"/>
        <v>0.19000000000000128</v>
      </c>
      <c r="Y20" s="100"/>
      <c r="Z20" s="61">
        <f t="shared" si="9"/>
        <v>8.0000000000001847E-2</v>
      </c>
      <c r="AA20" s="100"/>
      <c r="AB20" s="71">
        <v>3508</v>
      </c>
      <c r="AC20" s="66"/>
      <c r="AD20" s="87">
        <v>3472</v>
      </c>
      <c r="AE20" s="87">
        <v>3875</v>
      </c>
      <c r="AF20" s="71">
        <f t="shared" si="11"/>
        <v>403</v>
      </c>
      <c r="AG20" s="78"/>
      <c r="AH20" s="87">
        <v>3717</v>
      </c>
      <c r="AI20" s="71">
        <f t="shared" si="13"/>
        <v>245</v>
      </c>
      <c r="AJ20" s="78"/>
      <c r="AK20" s="88">
        <v>13</v>
      </c>
      <c r="AL20" s="78"/>
      <c r="AM20" s="89">
        <v>12</v>
      </c>
      <c r="AN20" s="89">
        <v>13</v>
      </c>
      <c r="AO20" s="70">
        <f t="shared" si="15"/>
        <v>1</v>
      </c>
      <c r="AP20" s="78"/>
      <c r="AQ20" s="89">
        <v>14.7</v>
      </c>
      <c r="AR20" s="71">
        <f t="shared" si="17"/>
        <v>2.6999999999999993</v>
      </c>
      <c r="AS20" s="59"/>
      <c r="AT20" s="90">
        <v>0.52287874528033762</v>
      </c>
      <c r="AU20" s="73"/>
      <c r="AV20" s="91">
        <v>-7.9181246047624804E-2</v>
      </c>
      <c r="AW20" s="91">
        <v>-7.9181246047624804E-2</v>
      </c>
      <c r="AX20" s="75">
        <f t="shared" si="19"/>
        <v>0</v>
      </c>
      <c r="AY20" s="59"/>
      <c r="AZ20" s="91">
        <v>-7.9181246047624804E-2</v>
      </c>
      <c r="BA20" s="75">
        <f t="shared" si="21"/>
        <v>0</v>
      </c>
      <c r="BB20" s="59"/>
      <c r="BC20" s="92">
        <v>0</v>
      </c>
      <c r="BD20" s="92">
        <v>0</v>
      </c>
      <c r="BE20" s="71">
        <f t="shared" si="23"/>
        <v>0</v>
      </c>
      <c r="BF20" s="78"/>
      <c r="BG20" s="92">
        <v>0</v>
      </c>
      <c r="BH20" s="71">
        <f t="shared" si="25"/>
        <v>0</v>
      </c>
      <c r="BI20" s="78"/>
      <c r="BJ20" s="93"/>
      <c r="BK20" s="94"/>
    </row>
    <row r="21" spans="1:63" ht="15" customHeight="1">
      <c r="A21" s="95">
        <v>9</v>
      </c>
      <c r="B21" s="82" t="s">
        <v>28</v>
      </c>
      <c r="C21" s="101">
        <v>8.3890410958904109</v>
      </c>
      <c r="D21" s="97" t="s">
        <v>1</v>
      </c>
      <c r="E21" s="85">
        <v>-1.75</v>
      </c>
      <c r="F21" s="59">
        <f t="shared" si="0"/>
        <v>-1.875</v>
      </c>
      <c r="G21" s="273">
        <v>42657</v>
      </c>
      <c r="H21" s="54" t="s">
        <v>9</v>
      </c>
      <c r="I21" s="103">
        <v>23.77</v>
      </c>
      <c r="J21" s="56">
        <f t="shared" si="1"/>
        <v>23.785</v>
      </c>
      <c r="K21" s="104">
        <v>23.86</v>
      </c>
      <c r="L21" s="58">
        <f t="shared" si="56"/>
        <v>8.9999999999999858E-2</v>
      </c>
      <c r="M21" s="59">
        <f t="shared" ref="M21" si="129">AVERAGE(L21:L22)</f>
        <v>8.4999999999999076E-2</v>
      </c>
      <c r="N21" s="104">
        <v>23.79</v>
      </c>
      <c r="O21" s="60">
        <f t="shared" si="58"/>
        <v>-7.0000000000000284E-2</v>
      </c>
      <c r="P21" s="56">
        <f t="shared" ref="P21" si="130">AVERAGE(O21:O22)</f>
        <v>-7.4999999999999289E-2</v>
      </c>
      <c r="Q21" s="104">
        <v>23.88</v>
      </c>
      <c r="R21" s="61">
        <f t="shared" si="60"/>
        <v>1.9999999999999574E-2</v>
      </c>
      <c r="S21" s="59">
        <f t="shared" ref="S21" si="131">AVERAGE(R21:R22)</f>
        <v>-1.9999999999999574E-2</v>
      </c>
      <c r="T21" s="104">
        <v>23.94</v>
      </c>
      <c r="U21" s="60">
        <f t="shared" si="5"/>
        <v>8.0000000000001847E-2</v>
      </c>
      <c r="V21" s="56">
        <f t="shared" ref="V21" si="132">AVERAGE(U21:U22)</f>
        <v>6.5000000000001279E-2</v>
      </c>
      <c r="W21" s="104">
        <v>23.96</v>
      </c>
      <c r="X21" s="61">
        <f t="shared" si="7"/>
        <v>0.10000000000000142</v>
      </c>
      <c r="Y21" s="98">
        <f t="shared" ref="Y21" si="133">AVERAGE(X21:X22)</f>
        <v>0.10000000000000142</v>
      </c>
      <c r="Z21" s="61">
        <f t="shared" si="9"/>
        <v>8.0000000000001847E-2</v>
      </c>
      <c r="AA21" s="98">
        <f t="shared" ref="AA21" si="134">AVERAGE(Z21:Z22)</f>
        <v>0.12000000000000099</v>
      </c>
      <c r="AB21" s="71">
        <v>3508</v>
      </c>
      <c r="AC21" s="99">
        <f t="shared" si="46"/>
        <v>3514.5</v>
      </c>
      <c r="AD21" s="87">
        <v>3906</v>
      </c>
      <c r="AE21" s="87">
        <v>3610</v>
      </c>
      <c r="AF21" s="71">
        <f t="shared" si="11"/>
        <v>-296</v>
      </c>
      <c r="AG21" s="78">
        <f t="shared" ref="AG21" si="135">AVERAGE(AF21:AF22)</f>
        <v>-190</v>
      </c>
      <c r="AH21" s="87">
        <v>4081</v>
      </c>
      <c r="AI21" s="71">
        <f t="shared" si="13"/>
        <v>175</v>
      </c>
      <c r="AJ21" s="78">
        <f t="shared" ref="AJ21" si="136">AVERAGE(AI21:AI22)</f>
        <v>39</v>
      </c>
      <c r="AK21" s="88">
        <v>13.5</v>
      </c>
      <c r="AL21" s="78">
        <f t="shared" si="33"/>
        <v>13.75</v>
      </c>
      <c r="AM21" s="89">
        <v>12</v>
      </c>
      <c r="AN21" s="89">
        <v>13</v>
      </c>
      <c r="AO21" s="70">
        <f t="shared" si="15"/>
        <v>1</v>
      </c>
      <c r="AP21" s="78">
        <f t="shared" ref="AP21" si="137">AVERAGE(AO21:AO22)</f>
        <v>-1.5</v>
      </c>
      <c r="AQ21" s="89">
        <v>9</v>
      </c>
      <c r="AR21" s="71">
        <f t="shared" si="17"/>
        <v>-3</v>
      </c>
      <c r="AS21" s="59">
        <f t="shared" ref="AS21" si="138">AVERAGE(AR21:AR22)</f>
        <v>-4</v>
      </c>
      <c r="AT21" s="90">
        <v>1</v>
      </c>
      <c r="AU21" s="73">
        <v>1</v>
      </c>
      <c r="AV21" s="91">
        <v>-7.9181246047624804E-2</v>
      </c>
      <c r="AW21" s="91">
        <v>-7.9181246047624804E-2</v>
      </c>
      <c r="AX21" s="75">
        <f t="shared" si="19"/>
        <v>0</v>
      </c>
      <c r="AY21" s="59">
        <f t="shared" ref="AY21" si="139">AVERAGE(AX21:AX22)</f>
        <v>3.9590623023812402E-2</v>
      </c>
      <c r="AZ21" s="91">
        <v>-7.9181246047624804E-2</v>
      </c>
      <c r="BA21" s="75">
        <f t="shared" si="21"/>
        <v>0</v>
      </c>
      <c r="BB21" s="59">
        <f t="shared" ref="BB21" si="140">AVERAGE(BA21:BA22)</f>
        <v>0</v>
      </c>
      <c r="BC21" s="92">
        <v>0</v>
      </c>
      <c r="BD21" s="92">
        <v>-7.9181246047624804E-2</v>
      </c>
      <c r="BE21" s="71">
        <f t="shared" si="23"/>
        <v>-7.9181246047624804E-2</v>
      </c>
      <c r="BF21" s="78">
        <f t="shared" ref="BF21" si="141">AVERAGE(BE21:BE22)</f>
        <v>-3.9590623023812402E-2</v>
      </c>
      <c r="BG21" s="92">
        <v>-7.9181246047624804E-2</v>
      </c>
      <c r="BH21" s="71">
        <f t="shared" si="25"/>
        <v>-7.9181246047624804E-2</v>
      </c>
      <c r="BI21" s="78">
        <f t="shared" ref="BI21" si="142">AVERAGE(BH21:BH22)</f>
        <v>-7.9181246047624804E-2</v>
      </c>
      <c r="BJ21" s="93">
        <v>100</v>
      </c>
      <c r="BK21" s="94">
        <v>100</v>
      </c>
    </row>
    <row r="22" spans="1:63" ht="15" customHeight="1">
      <c r="A22" s="81"/>
      <c r="B22" s="82"/>
      <c r="C22" s="102"/>
      <c r="D22" s="84"/>
      <c r="E22" s="85">
        <v>-2</v>
      </c>
      <c r="F22" s="59"/>
      <c r="G22" s="274"/>
      <c r="H22" s="54" t="s">
        <v>10</v>
      </c>
      <c r="I22" s="103">
        <v>23.8</v>
      </c>
      <c r="J22" s="56"/>
      <c r="K22" s="104">
        <v>23.88</v>
      </c>
      <c r="L22" s="58">
        <f t="shared" si="56"/>
        <v>7.9999999999998295E-2</v>
      </c>
      <c r="M22" s="59"/>
      <c r="N22" s="104">
        <v>23.8</v>
      </c>
      <c r="O22" s="60">
        <f t="shared" si="58"/>
        <v>-7.9999999999998295E-2</v>
      </c>
      <c r="P22" s="56"/>
      <c r="Q22" s="104">
        <v>23.82</v>
      </c>
      <c r="R22" s="61">
        <f t="shared" si="60"/>
        <v>-5.9999999999998721E-2</v>
      </c>
      <c r="S22" s="59"/>
      <c r="T22" s="104">
        <v>23.93</v>
      </c>
      <c r="U22" s="60">
        <f t="shared" si="5"/>
        <v>5.0000000000000711E-2</v>
      </c>
      <c r="V22" s="56"/>
      <c r="W22" s="104">
        <v>23.98</v>
      </c>
      <c r="X22" s="61">
        <f t="shared" si="7"/>
        <v>0.10000000000000142</v>
      </c>
      <c r="Y22" s="100"/>
      <c r="Z22" s="61">
        <f t="shared" si="9"/>
        <v>0.16000000000000014</v>
      </c>
      <c r="AA22" s="100"/>
      <c r="AB22" s="71">
        <v>3521</v>
      </c>
      <c r="AC22" s="66"/>
      <c r="AD22" s="87">
        <v>3787</v>
      </c>
      <c r="AE22" s="87">
        <v>3703</v>
      </c>
      <c r="AF22" s="71">
        <f t="shared" si="11"/>
        <v>-84</v>
      </c>
      <c r="AG22" s="78"/>
      <c r="AH22" s="87">
        <v>3690</v>
      </c>
      <c r="AI22" s="71">
        <f t="shared" si="13"/>
        <v>-97</v>
      </c>
      <c r="AJ22" s="78"/>
      <c r="AK22" s="88">
        <v>14</v>
      </c>
      <c r="AL22" s="78"/>
      <c r="AM22" s="89">
        <v>14.5</v>
      </c>
      <c r="AN22" s="89">
        <v>10.5</v>
      </c>
      <c r="AO22" s="70">
        <f t="shared" si="15"/>
        <v>-4</v>
      </c>
      <c r="AP22" s="78"/>
      <c r="AQ22" s="89">
        <v>9.5</v>
      </c>
      <c r="AR22" s="71">
        <f t="shared" si="17"/>
        <v>-5</v>
      </c>
      <c r="AS22" s="59"/>
      <c r="AT22" s="90">
        <v>1</v>
      </c>
      <c r="AU22" s="73"/>
      <c r="AV22" s="91">
        <v>-7.9181246047624804E-2</v>
      </c>
      <c r="AW22" s="91">
        <v>0</v>
      </c>
      <c r="AX22" s="75">
        <f t="shared" si="19"/>
        <v>7.9181246047624804E-2</v>
      </c>
      <c r="AY22" s="59"/>
      <c r="AZ22" s="91">
        <v>-7.9181246047624804E-2</v>
      </c>
      <c r="BA22" s="75">
        <f t="shared" si="21"/>
        <v>0</v>
      </c>
      <c r="BB22" s="59"/>
      <c r="BC22" s="92">
        <v>0</v>
      </c>
      <c r="BD22" s="92">
        <v>0</v>
      </c>
      <c r="BE22" s="71">
        <f t="shared" si="23"/>
        <v>0</v>
      </c>
      <c r="BF22" s="78"/>
      <c r="BG22" s="92">
        <v>-7.9181246047624804E-2</v>
      </c>
      <c r="BH22" s="71">
        <f t="shared" si="25"/>
        <v>-7.9181246047624804E-2</v>
      </c>
      <c r="BI22" s="78"/>
      <c r="BJ22" s="93"/>
      <c r="BK22" s="94"/>
    </row>
    <row r="23" spans="1:63" ht="15" customHeight="1">
      <c r="A23" s="95">
        <v>10</v>
      </c>
      <c r="B23" s="82" t="s">
        <v>28</v>
      </c>
      <c r="C23" s="101">
        <v>8.786301369863013</v>
      </c>
      <c r="D23" s="97" t="s">
        <v>0</v>
      </c>
      <c r="E23" s="85">
        <v>-1.5</v>
      </c>
      <c r="F23" s="59">
        <f t="shared" si="0"/>
        <v>-1.625</v>
      </c>
      <c r="G23" s="273">
        <v>42720</v>
      </c>
      <c r="H23" s="54" t="s">
        <v>9</v>
      </c>
      <c r="I23" s="103">
        <v>24.45</v>
      </c>
      <c r="J23" s="56">
        <f t="shared" si="1"/>
        <v>24.63</v>
      </c>
      <c r="K23" s="104">
        <v>24.45</v>
      </c>
      <c r="L23" s="58">
        <f t="shared" si="56"/>
        <v>0</v>
      </c>
      <c r="M23" s="59">
        <f t="shared" ref="M23" si="143">AVERAGE(L23:L24)</f>
        <v>-4.9999999999998934E-2</v>
      </c>
      <c r="N23" s="104">
        <v>24.44</v>
      </c>
      <c r="O23" s="60">
        <f t="shared" si="58"/>
        <v>-9.9999999999980105E-3</v>
      </c>
      <c r="P23" s="56">
        <f t="shared" ref="P23" si="144">AVERAGE(O23:O24)</f>
        <v>0</v>
      </c>
      <c r="Q23" s="104">
        <v>24.51</v>
      </c>
      <c r="R23" s="61">
        <f t="shared" si="60"/>
        <v>6.0000000000002274E-2</v>
      </c>
      <c r="S23" s="59">
        <f t="shared" ref="S23" si="145">AVERAGE(R23:R24)</f>
        <v>6.0000000000000497E-2</v>
      </c>
      <c r="T23" s="104">
        <v>24.55</v>
      </c>
      <c r="U23" s="60">
        <f t="shared" si="5"/>
        <v>0.10000000000000142</v>
      </c>
      <c r="V23" s="56">
        <f t="shared" ref="V23" si="146">AVERAGE(U23:U24)</f>
        <v>8.5000000000000853E-2</v>
      </c>
      <c r="W23" s="104">
        <v>24.56</v>
      </c>
      <c r="X23" s="61">
        <f t="shared" si="7"/>
        <v>0.10999999999999943</v>
      </c>
      <c r="Y23" s="98">
        <f t="shared" ref="Y23" si="147">AVERAGE(X23:X24)</f>
        <v>8.0000000000000071E-2</v>
      </c>
      <c r="Z23" s="61">
        <f t="shared" si="9"/>
        <v>4.9999999999997158E-2</v>
      </c>
      <c r="AA23" s="98">
        <f t="shared" ref="AA23" si="148">AVERAGE(Z23:Z24)</f>
        <v>1.9999999999999574E-2</v>
      </c>
      <c r="AB23" s="71">
        <v>3246</v>
      </c>
      <c r="AC23" s="99">
        <f t="shared" si="46"/>
        <v>3329</v>
      </c>
      <c r="AD23" s="87">
        <v>3436</v>
      </c>
      <c r="AE23" s="87">
        <v>3257</v>
      </c>
      <c r="AF23" s="71">
        <f t="shared" si="11"/>
        <v>-179</v>
      </c>
      <c r="AG23" s="78">
        <f t="shared" ref="AG23" si="149">AVERAGE(AF23:AF24)</f>
        <v>-450.5</v>
      </c>
      <c r="AH23" s="87">
        <v>2932</v>
      </c>
      <c r="AI23" s="71">
        <f t="shared" si="13"/>
        <v>-504</v>
      </c>
      <c r="AJ23" s="78">
        <f t="shared" ref="AJ23" si="150">AVERAGE(AI23:AI24)</f>
        <v>-605</v>
      </c>
      <c r="AK23" s="88">
        <v>16</v>
      </c>
      <c r="AL23" s="78">
        <f t="shared" ref="AL23:AL77" si="151">AVERAGE(AK23:AK24)</f>
        <v>15.25</v>
      </c>
      <c r="AM23" s="89">
        <v>13</v>
      </c>
      <c r="AN23" s="89">
        <v>11.5</v>
      </c>
      <c r="AO23" s="70">
        <f t="shared" si="15"/>
        <v>-1.5</v>
      </c>
      <c r="AP23" s="78">
        <f t="shared" ref="AP23" si="152">AVERAGE(AO23:AO24)</f>
        <v>-3.25</v>
      </c>
      <c r="AQ23" s="89">
        <v>10</v>
      </c>
      <c r="AR23" s="71">
        <f t="shared" si="17"/>
        <v>-3</v>
      </c>
      <c r="AS23" s="59">
        <f t="shared" ref="AS23" si="153">AVERAGE(AR23:AR24)</f>
        <v>-4</v>
      </c>
      <c r="AT23" s="90">
        <v>0.52287874528033762</v>
      </c>
      <c r="AU23" s="73">
        <v>0.52287874528033762</v>
      </c>
      <c r="AV23" s="91">
        <v>-7.9181246047624804E-2</v>
      </c>
      <c r="AW23" s="91">
        <v>-7.9181246047624804E-2</v>
      </c>
      <c r="AX23" s="75">
        <f t="shared" si="19"/>
        <v>0</v>
      </c>
      <c r="AY23" s="59">
        <f t="shared" ref="AY23" si="154">AVERAGE(AX23:AX24)</f>
        <v>0</v>
      </c>
      <c r="AZ23" s="91">
        <v>-7.9181246047624804E-2</v>
      </c>
      <c r="BA23" s="75">
        <f t="shared" si="21"/>
        <v>0</v>
      </c>
      <c r="BB23" s="59">
        <f t="shared" ref="BB23" si="155">AVERAGE(BA23:BA24)</f>
        <v>0</v>
      </c>
      <c r="BC23" s="92">
        <v>0.15490195998574319</v>
      </c>
      <c r="BD23" s="92">
        <v>0</v>
      </c>
      <c r="BE23" s="71">
        <f t="shared" si="23"/>
        <v>-0.15490195998574319</v>
      </c>
      <c r="BF23" s="78">
        <f t="shared" ref="BF23" si="156">AVERAGE(BE23:BE24)</f>
        <v>-0.15490195998574319</v>
      </c>
      <c r="BG23" s="92">
        <v>0</v>
      </c>
      <c r="BH23" s="71">
        <f t="shared" si="25"/>
        <v>-0.15490195998574319</v>
      </c>
      <c r="BI23" s="78">
        <f t="shared" ref="BI23" si="157">AVERAGE(BH23:BH24)</f>
        <v>-0.15490195998574319</v>
      </c>
      <c r="BJ23" s="93">
        <v>64</v>
      </c>
      <c r="BK23" s="94">
        <v>64</v>
      </c>
    </row>
    <row r="24" spans="1:63" ht="15" customHeight="1">
      <c r="A24" s="81"/>
      <c r="B24" s="82"/>
      <c r="C24" s="102"/>
      <c r="D24" s="84"/>
      <c r="E24" s="85">
        <v>-1.75</v>
      </c>
      <c r="F24" s="59"/>
      <c r="G24" s="274"/>
      <c r="H24" s="54" t="s">
        <v>10</v>
      </c>
      <c r="I24" s="103">
        <v>24.81</v>
      </c>
      <c r="J24" s="56"/>
      <c r="K24" s="104">
        <v>24.71</v>
      </c>
      <c r="L24" s="58">
        <f t="shared" si="56"/>
        <v>-9.9999999999997868E-2</v>
      </c>
      <c r="M24" s="59"/>
      <c r="N24" s="104">
        <v>24.72</v>
      </c>
      <c r="O24" s="60">
        <f t="shared" si="58"/>
        <v>9.9999999999980105E-3</v>
      </c>
      <c r="P24" s="56"/>
      <c r="Q24" s="104">
        <v>24.77</v>
      </c>
      <c r="R24" s="61">
        <f t="shared" si="60"/>
        <v>5.9999999999998721E-2</v>
      </c>
      <c r="S24" s="59"/>
      <c r="T24" s="104">
        <v>24.78</v>
      </c>
      <c r="U24" s="60">
        <f t="shared" si="5"/>
        <v>7.0000000000000284E-2</v>
      </c>
      <c r="V24" s="56"/>
      <c r="W24" s="104">
        <v>24.76</v>
      </c>
      <c r="X24" s="61">
        <f t="shared" si="7"/>
        <v>5.0000000000000711E-2</v>
      </c>
      <c r="Y24" s="100"/>
      <c r="Z24" s="61">
        <f t="shared" si="9"/>
        <v>-9.9999999999980105E-3</v>
      </c>
      <c r="AA24" s="100"/>
      <c r="AB24" s="71">
        <v>3412</v>
      </c>
      <c r="AC24" s="66"/>
      <c r="AD24" s="87">
        <v>3546</v>
      </c>
      <c r="AE24" s="87">
        <v>2824</v>
      </c>
      <c r="AF24" s="71">
        <f t="shared" si="11"/>
        <v>-722</v>
      </c>
      <c r="AG24" s="78"/>
      <c r="AH24" s="87">
        <v>2840</v>
      </c>
      <c r="AI24" s="71">
        <f t="shared" si="13"/>
        <v>-706</v>
      </c>
      <c r="AJ24" s="78"/>
      <c r="AK24" s="88">
        <v>14.5</v>
      </c>
      <c r="AL24" s="78"/>
      <c r="AM24" s="89">
        <v>16</v>
      </c>
      <c r="AN24" s="89">
        <v>11</v>
      </c>
      <c r="AO24" s="70">
        <f t="shared" si="15"/>
        <v>-5</v>
      </c>
      <c r="AP24" s="78"/>
      <c r="AQ24" s="89">
        <v>11</v>
      </c>
      <c r="AR24" s="71">
        <f t="shared" si="17"/>
        <v>-5</v>
      </c>
      <c r="AS24" s="59"/>
      <c r="AT24" s="90">
        <v>0.52287874528033762</v>
      </c>
      <c r="AU24" s="73"/>
      <c r="AV24" s="91">
        <v>-7.9181246047624804E-2</v>
      </c>
      <c r="AW24" s="91">
        <v>-7.9181246047624804E-2</v>
      </c>
      <c r="AX24" s="75">
        <f t="shared" si="19"/>
        <v>0</v>
      </c>
      <c r="AY24" s="59"/>
      <c r="AZ24" s="91">
        <v>-7.9181246047624804E-2</v>
      </c>
      <c r="BA24" s="75">
        <f t="shared" si="21"/>
        <v>0</v>
      </c>
      <c r="BB24" s="59"/>
      <c r="BC24" s="92">
        <v>0.15490195998574319</v>
      </c>
      <c r="BD24" s="92">
        <v>0</v>
      </c>
      <c r="BE24" s="71">
        <f t="shared" si="23"/>
        <v>-0.15490195998574319</v>
      </c>
      <c r="BF24" s="78"/>
      <c r="BG24" s="92">
        <v>0</v>
      </c>
      <c r="BH24" s="71">
        <f t="shared" si="25"/>
        <v>-0.15490195998574319</v>
      </c>
      <c r="BI24" s="78"/>
      <c r="BJ24" s="93"/>
      <c r="BK24" s="94"/>
    </row>
    <row r="25" spans="1:63" ht="15" customHeight="1">
      <c r="A25" s="95">
        <v>11</v>
      </c>
      <c r="B25" s="82" t="s">
        <v>29</v>
      </c>
      <c r="C25" s="105">
        <v>8.2191780821917817</v>
      </c>
      <c r="D25" s="106" t="s">
        <v>0</v>
      </c>
      <c r="E25" s="107">
        <v>-1.5</v>
      </c>
      <c r="F25" s="59">
        <f t="shared" si="0"/>
        <v>-1.375</v>
      </c>
      <c r="G25" s="275">
        <v>41838</v>
      </c>
      <c r="H25" s="108" t="s">
        <v>9</v>
      </c>
      <c r="I25" s="109">
        <v>25.11</v>
      </c>
      <c r="J25" s="56">
        <f t="shared" si="1"/>
        <v>24.88</v>
      </c>
      <c r="K25" s="110">
        <v>25.14</v>
      </c>
      <c r="L25" s="58">
        <f t="shared" si="27"/>
        <v>3.0000000000001137E-2</v>
      </c>
      <c r="M25" s="59">
        <f t="shared" ref="M25" si="158">AVERAGE(L25:L26)</f>
        <v>3.0000000000001137E-2</v>
      </c>
      <c r="N25" s="110">
        <v>25.24</v>
      </c>
      <c r="O25" s="60">
        <f t="shared" si="28"/>
        <v>9.9999999999997868E-2</v>
      </c>
      <c r="P25" s="56">
        <f t="shared" ref="P25" si="159">AVERAGE(O25:O26)</f>
        <v>9.4999999999998863E-2</v>
      </c>
      <c r="Q25" s="110">
        <v>25.27</v>
      </c>
      <c r="R25" s="61">
        <f t="shared" si="29"/>
        <v>0.12999999999999901</v>
      </c>
      <c r="S25" s="59">
        <f t="shared" ref="S25" si="160">AVERAGE(R25:R26)</f>
        <v>0.125</v>
      </c>
      <c r="T25" s="110">
        <v>25.3</v>
      </c>
      <c r="U25" s="60">
        <f t="shared" si="5"/>
        <v>0.16000000000000014</v>
      </c>
      <c r="V25" s="56">
        <f t="shared" si="6"/>
        <v>0.15499999999999936</v>
      </c>
      <c r="W25" s="110">
        <v>25.4</v>
      </c>
      <c r="X25" s="61">
        <f t="shared" si="7"/>
        <v>0.25999999999999801</v>
      </c>
      <c r="Y25" s="59">
        <f t="shared" ref="Y25:Y27" si="161">AVERAGE(X25:X26)</f>
        <v>0.32999999999999829</v>
      </c>
      <c r="Z25" s="61">
        <f t="shared" si="9"/>
        <v>0.12999999999999901</v>
      </c>
      <c r="AA25" s="59">
        <f t="shared" ref="AA25" si="162">AVERAGE(Z25:Z26)</f>
        <v>0.20499999999999829</v>
      </c>
      <c r="AB25" s="111">
        <v>3040</v>
      </c>
      <c r="AC25" s="99">
        <f t="shared" ref="AC25:AC79" si="163">AVERAGE(AB25:AB26)</f>
        <v>3138</v>
      </c>
      <c r="AD25" s="112">
        <v>3195</v>
      </c>
      <c r="AE25" s="112">
        <v>3115</v>
      </c>
      <c r="AF25" s="71">
        <f t="shared" si="11"/>
        <v>-80</v>
      </c>
      <c r="AG25" s="78">
        <f t="shared" ref="AG25" si="164">AVERAGE(AF25:AF26)</f>
        <v>-74.5</v>
      </c>
      <c r="AH25" s="112">
        <v>3020</v>
      </c>
      <c r="AI25" s="71">
        <f t="shared" si="13"/>
        <v>-175</v>
      </c>
      <c r="AJ25" s="78">
        <f t="shared" ref="AJ25" si="165">AVERAGE(AI25:AI26)</f>
        <v>-188.5</v>
      </c>
      <c r="AK25" s="113">
        <v>19</v>
      </c>
      <c r="AL25" s="78">
        <f t="shared" si="151"/>
        <v>17.5</v>
      </c>
      <c r="AM25" s="114">
        <v>16</v>
      </c>
      <c r="AN25" s="114">
        <v>14</v>
      </c>
      <c r="AO25" s="70">
        <f t="shared" si="15"/>
        <v>-2</v>
      </c>
      <c r="AP25" s="78">
        <f t="shared" ref="AP25" si="166">AVERAGE(AO25:AO26)</f>
        <v>-1.5</v>
      </c>
      <c r="AQ25" s="114">
        <v>14</v>
      </c>
      <c r="AR25" s="71">
        <f t="shared" si="17"/>
        <v>-2</v>
      </c>
      <c r="AS25" s="59">
        <f t="shared" ref="AS25" si="167">AVERAGE(AR25:AR26)</f>
        <v>-2</v>
      </c>
      <c r="AT25" s="90">
        <v>0.69897000433601886</v>
      </c>
      <c r="AU25" s="73">
        <v>0.54845500650402823</v>
      </c>
      <c r="AV25" s="91">
        <v>-7.9181246047624804E-2</v>
      </c>
      <c r="AW25" s="91">
        <v>9.691001300805642E-2</v>
      </c>
      <c r="AX25" s="75">
        <f t="shared" si="19"/>
        <v>0.17609125905568124</v>
      </c>
      <c r="AY25" s="59">
        <f t="shared" ref="AY25" si="168">AVERAGE(AX25:AX26)</f>
        <v>8.8045629527840619E-2</v>
      </c>
      <c r="AZ25" s="91">
        <v>-7.9181246047624804E-2</v>
      </c>
      <c r="BA25" s="75">
        <f t="shared" si="21"/>
        <v>0</v>
      </c>
      <c r="BB25" s="59">
        <f t="shared" ref="BB25" si="169">AVERAGE(BA25:BA26)</f>
        <v>0</v>
      </c>
      <c r="BC25" s="92">
        <v>-7.9181246047624804E-2</v>
      </c>
      <c r="BD25" s="92">
        <v>-7.9181246047624804E-2</v>
      </c>
      <c r="BE25" s="71">
        <f t="shared" si="23"/>
        <v>0</v>
      </c>
      <c r="BF25" s="78">
        <f t="shared" ref="BF25" si="170">AVERAGE(BE25:BE26)</f>
        <v>0</v>
      </c>
      <c r="BG25" s="92">
        <v>0</v>
      </c>
      <c r="BH25" s="71">
        <f t="shared" si="25"/>
        <v>7.9181246047624804E-2</v>
      </c>
      <c r="BI25" s="78">
        <f t="shared" ref="BI25" si="171">AVERAGE(BH25:BH26)</f>
        <v>0.12763625255165301</v>
      </c>
      <c r="BJ25" s="93">
        <v>100</v>
      </c>
      <c r="BK25" s="94">
        <v>100</v>
      </c>
    </row>
    <row r="26" spans="1:63" ht="15" customHeight="1">
      <c r="A26" s="81"/>
      <c r="B26" s="82"/>
      <c r="C26" s="115"/>
      <c r="D26" s="84"/>
      <c r="E26" s="107">
        <v>-1.25</v>
      </c>
      <c r="F26" s="59"/>
      <c r="G26" s="276"/>
      <c r="H26" s="116" t="s">
        <v>10</v>
      </c>
      <c r="I26" s="117">
        <v>24.65</v>
      </c>
      <c r="J26" s="56"/>
      <c r="K26" s="118">
        <v>24.68</v>
      </c>
      <c r="L26" s="58">
        <f t="shared" si="27"/>
        <v>3.0000000000001137E-2</v>
      </c>
      <c r="M26" s="59"/>
      <c r="N26" s="118">
        <v>24.77</v>
      </c>
      <c r="O26" s="60">
        <f t="shared" si="28"/>
        <v>8.9999999999999858E-2</v>
      </c>
      <c r="P26" s="56"/>
      <c r="Q26" s="118">
        <v>24.8</v>
      </c>
      <c r="R26" s="61">
        <f t="shared" si="29"/>
        <v>0.12000000000000099</v>
      </c>
      <c r="S26" s="59"/>
      <c r="T26" s="118">
        <v>24.83</v>
      </c>
      <c r="U26" s="60">
        <f t="shared" si="5"/>
        <v>0.14999999999999858</v>
      </c>
      <c r="V26" s="56"/>
      <c r="W26" s="118">
        <v>25.08</v>
      </c>
      <c r="X26" s="61">
        <f t="shared" si="7"/>
        <v>0.39999999999999858</v>
      </c>
      <c r="Y26" s="59"/>
      <c r="Z26" s="61">
        <f t="shared" si="9"/>
        <v>0.27999999999999758</v>
      </c>
      <c r="AA26" s="59"/>
      <c r="AB26" s="111">
        <v>3236</v>
      </c>
      <c r="AC26" s="66"/>
      <c r="AD26" s="112">
        <v>3155</v>
      </c>
      <c r="AE26" s="112">
        <v>3086</v>
      </c>
      <c r="AF26" s="71">
        <f t="shared" si="11"/>
        <v>-69</v>
      </c>
      <c r="AG26" s="78"/>
      <c r="AH26" s="112">
        <v>2953</v>
      </c>
      <c r="AI26" s="71">
        <f t="shared" si="13"/>
        <v>-202</v>
      </c>
      <c r="AJ26" s="78"/>
      <c r="AK26" s="113">
        <v>16</v>
      </c>
      <c r="AL26" s="78"/>
      <c r="AM26" s="114">
        <v>16</v>
      </c>
      <c r="AN26" s="114">
        <v>15</v>
      </c>
      <c r="AO26" s="70">
        <f t="shared" si="15"/>
        <v>-1</v>
      </c>
      <c r="AP26" s="78"/>
      <c r="AQ26" s="114">
        <v>14</v>
      </c>
      <c r="AR26" s="71">
        <f t="shared" si="17"/>
        <v>-2</v>
      </c>
      <c r="AS26" s="59"/>
      <c r="AT26" s="90">
        <v>0.3979400086720376</v>
      </c>
      <c r="AU26" s="73"/>
      <c r="AV26" s="91">
        <v>-7.9181246047624804E-2</v>
      </c>
      <c r="AW26" s="91">
        <v>-7.9181246047624804E-2</v>
      </c>
      <c r="AX26" s="75">
        <f t="shared" si="19"/>
        <v>0</v>
      </c>
      <c r="AY26" s="59"/>
      <c r="AZ26" s="91">
        <v>-7.9181246047624804E-2</v>
      </c>
      <c r="BA26" s="75">
        <f t="shared" si="21"/>
        <v>0</v>
      </c>
      <c r="BB26" s="59"/>
      <c r="BC26" s="92">
        <v>-7.9181246047624804E-2</v>
      </c>
      <c r="BD26" s="92">
        <v>-7.9181246047624804E-2</v>
      </c>
      <c r="BE26" s="71">
        <f t="shared" si="23"/>
        <v>0</v>
      </c>
      <c r="BF26" s="78"/>
      <c r="BG26" s="92">
        <v>9.691001300805642E-2</v>
      </c>
      <c r="BH26" s="71">
        <f t="shared" si="25"/>
        <v>0.17609125905568124</v>
      </c>
      <c r="BI26" s="78"/>
      <c r="BJ26" s="93"/>
      <c r="BK26" s="94"/>
    </row>
    <row r="27" spans="1:63" ht="15" customHeight="1">
      <c r="A27" s="95">
        <v>12</v>
      </c>
      <c r="B27" s="82" t="s">
        <v>29</v>
      </c>
      <c r="C27" s="119">
        <v>9.9205479452054792</v>
      </c>
      <c r="D27" s="97" t="s">
        <v>0</v>
      </c>
      <c r="E27" s="107">
        <v>-1.25</v>
      </c>
      <c r="F27" s="59">
        <f t="shared" si="0"/>
        <v>-1.125</v>
      </c>
      <c r="G27" s="275">
        <v>42224</v>
      </c>
      <c r="H27" s="54" t="s">
        <v>9</v>
      </c>
      <c r="I27" s="120">
        <v>24.52</v>
      </c>
      <c r="J27" s="56">
        <f t="shared" si="1"/>
        <v>24.435000000000002</v>
      </c>
      <c r="K27" s="118">
        <v>24.46</v>
      </c>
      <c r="L27" s="58">
        <f t="shared" si="27"/>
        <v>-5.9999999999998721E-2</v>
      </c>
      <c r="M27" s="59">
        <f t="shared" ref="M27" si="172">AVERAGE(L27:L28)</f>
        <v>-5.4999999999999716E-2</v>
      </c>
      <c r="N27" s="112">
        <v>24.55</v>
      </c>
      <c r="O27" s="60">
        <f t="shared" si="28"/>
        <v>8.9999999999999858E-2</v>
      </c>
      <c r="P27" s="56">
        <f t="shared" ref="P27" si="173">AVERAGE(O27:O28)</f>
        <v>6.4999999999999503E-2</v>
      </c>
      <c r="Q27" s="118">
        <v>24.66</v>
      </c>
      <c r="R27" s="61">
        <f t="shared" si="29"/>
        <v>0.19999999999999929</v>
      </c>
      <c r="S27" s="59">
        <f t="shared" ref="S27" si="174">AVERAGE(R27:R28)</f>
        <v>0.19499999999999851</v>
      </c>
      <c r="T27" s="112">
        <v>24.77</v>
      </c>
      <c r="U27" s="60">
        <f t="shared" si="5"/>
        <v>0.30999999999999872</v>
      </c>
      <c r="V27" s="56">
        <f t="shared" si="6"/>
        <v>0.26499999999999879</v>
      </c>
      <c r="W27" s="118">
        <v>24.91</v>
      </c>
      <c r="X27" s="61">
        <f t="shared" si="7"/>
        <v>0.44999999999999929</v>
      </c>
      <c r="Y27" s="59">
        <f t="shared" si="161"/>
        <v>0.38499999999999979</v>
      </c>
      <c r="Z27" s="61">
        <f t="shared" si="9"/>
        <v>0.25</v>
      </c>
      <c r="AA27" s="59">
        <f t="shared" ref="AA27" si="175">AVERAGE(Z27:Z28)</f>
        <v>0.19000000000000128</v>
      </c>
      <c r="AB27" s="111">
        <v>2924</v>
      </c>
      <c r="AC27" s="99">
        <f t="shared" si="163"/>
        <v>2890.5</v>
      </c>
      <c r="AD27" s="112">
        <v>2817</v>
      </c>
      <c r="AE27" s="112">
        <v>2675</v>
      </c>
      <c r="AF27" s="71">
        <f t="shared" si="11"/>
        <v>-142</v>
      </c>
      <c r="AG27" s="78">
        <f t="shared" ref="AG27" si="176">AVERAGE(AF27:AF28)</f>
        <v>-139.5</v>
      </c>
      <c r="AH27" s="112">
        <v>2913</v>
      </c>
      <c r="AI27" s="71">
        <f t="shared" si="13"/>
        <v>96</v>
      </c>
      <c r="AJ27" s="78">
        <f t="shared" ref="AJ27" si="177">AVERAGE(AI27:AI28)</f>
        <v>-29.5</v>
      </c>
      <c r="AK27" s="113">
        <v>16</v>
      </c>
      <c r="AL27" s="78">
        <f t="shared" si="151"/>
        <v>16</v>
      </c>
      <c r="AM27" s="114">
        <v>17</v>
      </c>
      <c r="AN27" s="114">
        <v>12</v>
      </c>
      <c r="AO27" s="70">
        <f t="shared" si="15"/>
        <v>-5</v>
      </c>
      <c r="AP27" s="78">
        <f t="shared" ref="AP27" si="178">AVERAGE(AO27:AO28)</f>
        <v>-4</v>
      </c>
      <c r="AQ27" s="114">
        <v>15</v>
      </c>
      <c r="AR27" s="71">
        <f t="shared" si="17"/>
        <v>-2</v>
      </c>
      <c r="AS27" s="59">
        <f t="shared" ref="AS27" si="179">AVERAGE(AR27:AR28)</f>
        <v>-2</v>
      </c>
      <c r="AT27" s="90">
        <v>0.52287874528033762</v>
      </c>
      <c r="AU27" s="73">
        <v>0.61092437480817829</v>
      </c>
      <c r="AV27" s="91">
        <v>-7.9181246047624804E-2</v>
      </c>
      <c r="AW27" s="91">
        <v>9.691001300805642E-2</v>
      </c>
      <c r="AX27" s="75">
        <f t="shared" si="19"/>
        <v>0.17609125905568124</v>
      </c>
      <c r="AY27" s="59">
        <f t="shared" ref="AY27" si="180">AVERAGE(AX27:AX28)</f>
        <v>0.12763625255165301</v>
      </c>
      <c r="AZ27" s="91">
        <v>9.691001300805642E-2</v>
      </c>
      <c r="BA27" s="75">
        <f t="shared" si="21"/>
        <v>0.17609125905568124</v>
      </c>
      <c r="BB27" s="59">
        <f t="shared" ref="BB27" si="181">AVERAGE(BA27:BA28)</f>
        <v>0.12763625255165301</v>
      </c>
      <c r="BC27" s="92">
        <v>-7.9181246047624804E-2</v>
      </c>
      <c r="BD27" s="92">
        <v>0.22184874961635639</v>
      </c>
      <c r="BE27" s="71">
        <f t="shared" si="23"/>
        <v>0.3010299956639812</v>
      </c>
      <c r="BF27" s="78">
        <f t="shared" ref="BF27" si="182">AVERAGE(BE27:BE28)</f>
        <v>0.34062061868779359</v>
      </c>
      <c r="BG27" s="92">
        <v>9.691001300805642E-2</v>
      </c>
      <c r="BH27" s="71">
        <f t="shared" si="25"/>
        <v>0.17609125905568124</v>
      </c>
      <c r="BI27" s="78">
        <f t="shared" ref="BI27" si="183">AVERAGE(BH27:BH28)</f>
        <v>8.8045629527840619E-2</v>
      </c>
      <c r="BJ27" s="93">
        <v>98</v>
      </c>
      <c r="BK27" s="94">
        <v>98</v>
      </c>
    </row>
    <row r="28" spans="1:63" ht="15" customHeight="1">
      <c r="A28" s="81"/>
      <c r="B28" s="82"/>
      <c r="C28" s="121"/>
      <c r="D28" s="84"/>
      <c r="E28" s="107">
        <v>-1</v>
      </c>
      <c r="F28" s="59"/>
      <c r="G28" s="276"/>
      <c r="H28" s="54" t="s">
        <v>10</v>
      </c>
      <c r="I28" s="120">
        <v>24.35</v>
      </c>
      <c r="J28" s="56"/>
      <c r="K28" s="122">
        <v>24.3</v>
      </c>
      <c r="L28" s="58">
        <f t="shared" si="27"/>
        <v>-5.0000000000000711E-2</v>
      </c>
      <c r="M28" s="59"/>
      <c r="N28" s="123">
        <v>24.34</v>
      </c>
      <c r="O28" s="60">
        <f t="shared" si="28"/>
        <v>3.9999999999999147E-2</v>
      </c>
      <c r="P28" s="56"/>
      <c r="Q28" s="118">
        <v>24.49</v>
      </c>
      <c r="R28" s="61">
        <f t="shared" si="29"/>
        <v>0.18999999999999773</v>
      </c>
      <c r="S28" s="59"/>
      <c r="T28" s="123">
        <v>24.52</v>
      </c>
      <c r="U28" s="60">
        <f t="shared" si="5"/>
        <v>0.21999999999999886</v>
      </c>
      <c r="V28" s="56"/>
      <c r="W28" s="118">
        <v>24.62</v>
      </c>
      <c r="X28" s="61">
        <f t="shared" si="7"/>
        <v>0.32000000000000028</v>
      </c>
      <c r="Y28" s="59"/>
      <c r="Z28" s="61">
        <f t="shared" si="9"/>
        <v>0.13000000000000256</v>
      </c>
      <c r="AA28" s="59"/>
      <c r="AB28" s="111">
        <v>2857</v>
      </c>
      <c r="AC28" s="66"/>
      <c r="AD28" s="112">
        <v>2817</v>
      </c>
      <c r="AE28" s="112">
        <v>2680</v>
      </c>
      <c r="AF28" s="71">
        <f t="shared" si="11"/>
        <v>-137</v>
      </c>
      <c r="AG28" s="78"/>
      <c r="AH28" s="112">
        <v>2662</v>
      </c>
      <c r="AI28" s="71">
        <f t="shared" si="13"/>
        <v>-155</v>
      </c>
      <c r="AJ28" s="78"/>
      <c r="AK28" s="113">
        <v>16</v>
      </c>
      <c r="AL28" s="78"/>
      <c r="AM28" s="114">
        <v>16</v>
      </c>
      <c r="AN28" s="114">
        <v>13</v>
      </c>
      <c r="AO28" s="70">
        <f t="shared" si="15"/>
        <v>-3</v>
      </c>
      <c r="AP28" s="78"/>
      <c r="AQ28" s="114">
        <v>14</v>
      </c>
      <c r="AR28" s="71">
        <f t="shared" si="17"/>
        <v>-2</v>
      </c>
      <c r="AS28" s="59"/>
      <c r="AT28" s="90">
        <v>0.69897000433601886</v>
      </c>
      <c r="AU28" s="73"/>
      <c r="AV28" s="91">
        <v>-7.9181246047624804E-2</v>
      </c>
      <c r="AW28" s="91">
        <v>0</v>
      </c>
      <c r="AX28" s="75">
        <f t="shared" si="19"/>
        <v>7.9181246047624804E-2</v>
      </c>
      <c r="AY28" s="59"/>
      <c r="AZ28" s="91">
        <v>0</v>
      </c>
      <c r="BA28" s="75">
        <f t="shared" si="21"/>
        <v>7.9181246047624804E-2</v>
      </c>
      <c r="BB28" s="59"/>
      <c r="BC28" s="92">
        <v>-7.9181246047624804E-2</v>
      </c>
      <c r="BD28" s="92">
        <v>0.3010299956639812</v>
      </c>
      <c r="BE28" s="71">
        <f t="shared" si="23"/>
        <v>0.38021124171160603</v>
      </c>
      <c r="BF28" s="78"/>
      <c r="BG28" s="92">
        <v>-7.9181246047624804E-2</v>
      </c>
      <c r="BH28" s="71">
        <f t="shared" si="25"/>
        <v>0</v>
      </c>
      <c r="BI28" s="78"/>
      <c r="BJ28" s="93"/>
      <c r="BK28" s="94"/>
    </row>
    <row r="29" spans="1:63" ht="15" customHeight="1">
      <c r="A29" s="95">
        <v>13</v>
      </c>
      <c r="B29" s="82" t="s">
        <v>29</v>
      </c>
      <c r="C29" s="119">
        <v>9.2410958904109588</v>
      </c>
      <c r="D29" s="97" t="s">
        <v>0</v>
      </c>
      <c r="E29" s="107">
        <v>-2.25</v>
      </c>
      <c r="F29" s="59">
        <f t="shared" si="0"/>
        <v>-2.25</v>
      </c>
      <c r="G29" s="275">
        <v>42374</v>
      </c>
      <c r="H29" s="54" t="s">
        <v>9</v>
      </c>
      <c r="I29" s="124">
        <v>24.25</v>
      </c>
      <c r="J29" s="56">
        <f t="shared" ref="J29:J31" si="184">AVERAGE(I29:I30)</f>
        <v>24.1</v>
      </c>
      <c r="K29" s="118">
        <v>24.2</v>
      </c>
      <c r="L29" s="58">
        <f t="shared" ref="L29:L30" si="185">K29-I29</f>
        <v>-5.0000000000000711E-2</v>
      </c>
      <c r="M29" s="59">
        <f t="shared" ref="M29" si="186">AVERAGE(L29:L30)</f>
        <v>-3.9999999999999147E-2</v>
      </c>
      <c r="N29" s="112">
        <v>24.14</v>
      </c>
      <c r="O29" s="60">
        <f t="shared" ref="O29:O30" si="187">N29-K29</f>
        <v>-5.9999999999998721E-2</v>
      </c>
      <c r="P29" s="56">
        <f t="shared" ref="P29" si="188">AVERAGE(O29:O30)</f>
        <v>-5.4999999999999716E-2</v>
      </c>
      <c r="Q29" s="118">
        <v>24.16</v>
      </c>
      <c r="R29" s="61">
        <f t="shared" ref="R29:R30" si="189">Q29-K29</f>
        <v>-3.9999999999999147E-2</v>
      </c>
      <c r="S29" s="59">
        <f t="shared" ref="S29" si="190">AVERAGE(R29:R30)</f>
        <v>-3.5000000000000142E-2</v>
      </c>
      <c r="T29" s="112">
        <v>24.09</v>
      </c>
      <c r="U29" s="60">
        <f t="shared" si="5"/>
        <v>-0.10999999999999943</v>
      </c>
      <c r="V29" s="56">
        <f t="shared" ref="V29" si="191">AVERAGE(U29:U30)</f>
        <v>-8.0000000000000071E-2</v>
      </c>
      <c r="W29" s="118">
        <v>24.15</v>
      </c>
      <c r="X29" s="61">
        <f t="shared" si="7"/>
        <v>-5.0000000000000711E-2</v>
      </c>
      <c r="Y29" s="59">
        <v>0</v>
      </c>
      <c r="Z29" s="61">
        <f t="shared" si="9"/>
        <v>-1.0000000000001563E-2</v>
      </c>
      <c r="AA29" s="59">
        <f t="shared" ref="AA29" si="192">AVERAGE(Z29:Z30)</f>
        <v>3.4999999999998366E-2</v>
      </c>
      <c r="AB29" s="111">
        <v>3297</v>
      </c>
      <c r="AC29" s="99">
        <f t="shared" si="163"/>
        <v>3328</v>
      </c>
      <c r="AD29" s="112">
        <v>3326</v>
      </c>
      <c r="AE29" s="112">
        <v>3308</v>
      </c>
      <c r="AF29" s="71">
        <f t="shared" si="11"/>
        <v>-18</v>
      </c>
      <c r="AG29" s="78">
        <f t="shared" ref="AG29" si="193">AVERAGE(AF29:AF30)</f>
        <v>-30.5</v>
      </c>
      <c r="AH29" s="112">
        <v>3232</v>
      </c>
      <c r="AI29" s="71">
        <f t="shared" si="13"/>
        <v>-94</v>
      </c>
      <c r="AJ29" s="78">
        <f t="shared" ref="AJ29" si="194">AVERAGE(AI29:AI30)</f>
        <v>-86</v>
      </c>
      <c r="AK29" s="113">
        <v>16</v>
      </c>
      <c r="AL29" s="78">
        <f t="shared" si="151"/>
        <v>14.5</v>
      </c>
      <c r="AM29" s="114">
        <v>11</v>
      </c>
      <c r="AN29" s="114">
        <v>10</v>
      </c>
      <c r="AO29" s="70">
        <f t="shared" si="15"/>
        <v>-1</v>
      </c>
      <c r="AP29" s="78">
        <f t="shared" ref="AP29" si="195">AVERAGE(AO29:AO30)</f>
        <v>0</v>
      </c>
      <c r="AQ29" s="114">
        <v>12</v>
      </c>
      <c r="AR29" s="71">
        <f t="shared" si="17"/>
        <v>1</v>
      </c>
      <c r="AS29" s="59">
        <f t="shared" ref="AS29" si="196">AVERAGE(AR29:AR30)</f>
        <v>2</v>
      </c>
      <c r="AT29" s="90">
        <v>0.3979400086720376</v>
      </c>
      <c r="AU29" s="73">
        <v>0.46040937697618761</v>
      </c>
      <c r="AV29" s="91">
        <v>4.5757490560675143E-2</v>
      </c>
      <c r="AW29" s="91">
        <v>9.691001300805642E-2</v>
      </c>
      <c r="AX29" s="75">
        <f t="shared" si="19"/>
        <v>5.1152522447381277E-2</v>
      </c>
      <c r="AY29" s="59">
        <f t="shared" ref="AY29" si="197">AVERAGE(AX29:AX30)</f>
        <v>6.516688424750304E-2</v>
      </c>
      <c r="AZ29" s="91">
        <v>0</v>
      </c>
      <c r="BA29" s="75">
        <f t="shared" si="21"/>
        <v>-4.5757490560675143E-2</v>
      </c>
      <c r="BB29" s="59">
        <f t="shared" ref="BB29" si="198">AVERAGE(BA29:BA30)</f>
        <v>-2.2878745280337572E-2</v>
      </c>
      <c r="BC29" s="92">
        <v>-7.9181246047624804E-2</v>
      </c>
      <c r="BD29" s="92">
        <v>-7.9181246047624804E-2</v>
      </c>
      <c r="BE29" s="71">
        <f t="shared" si="23"/>
        <v>0</v>
      </c>
      <c r="BF29" s="78">
        <f t="shared" ref="BF29" si="199">AVERAGE(BE29:BE30)</f>
        <v>-6.2469368304149973E-2</v>
      </c>
      <c r="BG29" s="92">
        <v>-7.9181246047624804E-2</v>
      </c>
      <c r="BH29" s="71">
        <f t="shared" si="25"/>
        <v>0</v>
      </c>
      <c r="BI29" s="78">
        <f t="shared" ref="BI29" si="200">AVERAGE(BH29:BH30)</f>
        <v>-6.2469368304149973E-2</v>
      </c>
      <c r="BJ29" s="93">
        <v>65</v>
      </c>
      <c r="BK29" s="94">
        <v>73</v>
      </c>
    </row>
    <row r="30" spans="1:63" ht="15" customHeight="1">
      <c r="A30" s="81"/>
      <c r="B30" s="82"/>
      <c r="C30" s="121"/>
      <c r="D30" s="84"/>
      <c r="E30" s="107">
        <v>-2.25</v>
      </c>
      <c r="F30" s="59"/>
      <c r="G30" s="276"/>
      <c r="H30" s="54" t="s">
        <v>10</v>
      </c>
      <c r="I30" s="125">
        <v>23.95</v>
      </c>
      <c r="J30" s="56"/>
      <c r="K30" s="122">
        <v>23.92</v>
      </c>
      <c r="L30" s="58">
        <f t="shared" si="185"/>
        <v>-2.9999999999997584E-2</v>
      </c>
      <c r="M30" s="59"/>
      <c r="N30" s="123">
        <v>23.87</v>
      </c>
      <c r="O30" s="60">
        <f t="shared" si="187"/>
        <v>-5.0000000000000711E-2</v>
      </c>
      <c r="P30" s="56"/>
      <c r="Q30" s="118">
        <v>23.89</v>
      </c>
      <c r="R30" s="61">
        <f t="shared" si="189"/>
        <v>-3.0000000000001137E-2</v>
      </c>
      <c r="S30" s="59"/>
      <c r="T30" s="123">
        <v>23.87</v>
      </c>
      <c r="U30" s="60">
        <f t="shared" si="5"/>
        <v>-5.0000000000000711E-2</v>
      </c>
      <c r="V30" s="56"/>
      <c r="W30" s="118">
        <v>23.97</v>
      </c>
      <c r="X30" s="61">
        <f t="shared" si="7"/>
        <v>4.9999999999997158E-2</v>
      </c>
      <c r="Y30" s="59"/>
      <c r="Z30" s="61">
        <f t="shared" si="9"/>
        <v>7.9999999999998295E-2</v>
      </c>
      <c r="AA30" s="59"/>
      <c r="AB30" s="111">
        <v>3359</v>
      </c>
      <c r="AC30" s="66"/>
      <c r="AD30" s="112">
        <v>3308</v>
      </c>
      <c r="AE30" s="112">
        <v>3265</v>
      </c>
      <c r="AF30" s="71">
        <f t="shared" si="11"/>
        <v>-43</v>
      </c>
      <c r="AG30" s="78"/>
      <c r="AH30" s="112">
        <v>3230</v>
      </c>
      <c r="AI30" s="71">
        <f t="shared" si="13"/>
        <v>-78</v>
      </c>
      <c r="AJ30" s="78"/>
      <c r="AK30" s="113">
        <v>13</v>
      </c>
      <c r="AL30" s="78"/>
      <c r="AM30" s="114">
        <v>11</v>
      </c>
      <c r="AN30" s="114">
        <v>12</v>
      </c>
      <c r="AO30" s="70">
        <f t="shared" si="15"/>
        <v>1</v>
      </c>
      <c r="AP30" s="78"/>
      <c r="AQ30" s="114">
        <v>14</v>
      </c>
      <c r="AR30" s="71">
        <f t="shared" si="17"/>
        <v>3</v>
      </c>
      <c r="AS30" s="59"/>
      <c r="AT30" s="90">
        <v>0.52287874528033762</v>
      </c>
      <c r="AU30" s="73"/>
      <c r="AV30" s="91">
        <v>-7.9181246047624804E-2</v>
      </c>
      <c r="AW30" s="91">
        <v>0</v>
      </c>
      <c r="AX30" s="75">
        <f t="shared" si="19"/>
        <v>7.9181246047624804E-2</v>
      </c>
      <c r="AY30" s="59"/>
      <c r="AZ30" s="91">
        <v>-7.9181246047624804E-2</v>
      </c>
      <c r="BA30" s="75">
        <f t="shared" si="21"/>
        <v>0</v>
      </c>
      <c r="BB30" s="59"/>
      <c r="BC30" s="92">
        <v>4.5757490560675143E-2</v>
      </c>
      <c r="BD30" s="92">
        <v>-7.9181246047624804E-2</v>
      </c>
      <c r="BE30" s="71">
        <f t="shared" si="23"/>
        <v>-0.12493873660829995</v>
      </c>
      <c r="BF30" s="78"/>
      <c r="BG30" s="92">
        <v>-7.9181246047624804E-2</v>
      </c>
      <c r="BH30" s="71">
        <f t="shared" si="25"/>
        <v>-0.12493873660829995</v>
      </c>
      <c r="BI30" s="78"/>
      <c r="BJ30" s="93"/>
      <c r="BK30" s="94"/>
    </row>
    <row r="31" spans="1:63" ht="15" customHeight="1">
      <c r="A31" s="95">
        <v>14</v>
      </c>
      <c r="B31" s="82" t="s">
        <v>29</v>
      </c>
      <c r="C31" s="119">
        <v>9.205479452054794</v>
      </c>
      <c r="D31" s="106" t="s">
        <v>1</v>
      </c>
      <c r="E31" s="107">
        <v>-2</v>
      </c>
      <c r="F31" s="59">
        <f t="shared" si="0"/>
        <v>-1.875</v>
      </c>
      <c r="G31" s="277">
        <v>42601</v>
      </c>
      <c r="H31" s="86" t="s">
        <v>9</v>
      </c>
      <c r="I31" s="126">
        <v>24.9</v>
      </c>
      <c r="J31" s="56">
        <f t="shared" si="184"/>
        <v>24.884999999999998</v>
      </c>
      <c r="K31" s="127">
        <v>24.96</v>
      </c>
      <c r="L31" s="58">
        <f t="shared" ref="L31:L32" si="201">K31-I31</f>
        <v>6.0000000000002274E-2</v>
      </c>
      <c r="M31" s="59">
        <f t="shared" ref="M31" si="202">AVERAGE(L31:L32)</f>
        <v>4.0000000000000924E-2</v>
      </c>
      <c r="N31" s="128">
        <v>25.04</v>
      </c>
      <c r="O31" s="60">
        <f t="shared" ref="O31:O32" si="203">N31-K31</f>
        <v>7.9999999999998295E-2</v>
      </c>
      <c r="P31" s="56">
        <f t="shared" ref="P31" si="204">AVERAGE(O31:O32)</f>
        <v>9.9999999999980105E-3</v>
      </c>
      <c r="Q31" s="110">
        <v>24.84</v>
      </c>
      <c r="R31" s="61">
        <f t="shared" ref="R31:R32" si="205">Q31-K31</f>
        <v>-0.12000000000000099</v>
      </c>
      <c r="S31" s="59">
        <f t="shared" ref="S31" si="206">AVERAGE(R31:R32)</f>
        <v>-8.5000000000000853E-2</v>
      </c>
      <c r="T31" s="128">
        <v>24.85</v>
      </c>
      <c r="U31" s="60">
        <f t="shared" si="5"/>
        <v>-0.10999999999999943</v>
      </c>
      <c r="V31" s="56">
        <f t="shared" ref="V31" si="207">AVERAGE(U31:U32)</f>
        <v>-7.0000000000000284E-2</v>
      </c>
      <c r="W31" s="110">
        <v>24.81</v>
      </c>
      <c r="X31" s="61">
        <f t="shared" si="7"/>
        <v>-0.15000000000000213</v>
      </c>
      <c r="Y31" s="59">
        <f t="shared" ref="Y31" si="208">AVERAGE(X31:X32)</f>
        <v>-3.5000000000001918E-2</v>
      </c>
      <c r="Z31" s="61">
        <f t="shared" si="9"/>
        <v>-3.0000000000001137E-2</v>
      </c>
      <c r="AA31" s="59">
        <f t="shared" ref="AA31" si="209">AVERAGE(Z31:Z32)</f>
        <v>4.9999999999998934E-2</v>
      </c>
      <c r="AB31" s="111">
        <v>2966</v>
      </c>
      <c r="AC31" s="99">
        <f t="shared" si="163"/>
        <v>3040.5</v>
      </c>
      <c r="AD31" s="112">
        <v>3178</v>
      </c>
      <c r="AE31" s="112">
        <v>3158</v>
      </c>
      <c r="AF31" s="71">
        <f t="shared" si="11"/>
        <v>-20</v>
      </c>
      <c r="AG31" s="78">
        <f t="shared" ref="AG31" si="210">AVERAGE(AF31:AF32)</f>
        <v>-19</v>
      </c>
      <c r="AH31" s="112">
        <v>2985</v>
      </c>
      <c r="AI31" s="71">
        <f t="shared" si="13"/>
        <v>-193</v>
      </c>
      <c r="AJ31" s="78">
        <f t="shared" ref="AJ31" si="211">AVERAGE(AI31:AI32)</f>
        <v>-119</v>
      </c>
      <c r="AK31" s="113">
        <v>13</v>
      </c>
      <c r="AL31" s="78">
        <f t="shared" si="151"/>
        <v>12.5</v>
      </c>
      <c r="AM31" s="114">
        <v>15</v>
      </c>
      <c r="AN31" s="114">
        <v>13</v>
      </c>
      <c r="AO31" s="70">
        <f t="shared" si="15"/>
        <v>-2</v>
      </c>
      <c r="AP31" s="78">
        <f t="shared" ref="AP31" si="212">AVERAGE(AO31:AO32)</f>
        <v>-3</v>
      </c>
      <c r="AQ31" s="114">
        <v>10</v>
      </c>
      <c r="AR31" s="71">
        <f t="shared" si="17"/>
        <v>-5</v>
      </c>
      <c r="AS31" s="59">
        <f t="shared" ref="AS31" si="213">AVERAGE(AR31:AR32)</f>
        <v>-5</v>
      </c>
      <c r="AT31" s="90">
        <v>1</v>
      </c>
      <c r="AU31" s="73">
        <v>0.91195437047215933</v>
      </c>
      <c r="AV31" s="91">
        <v>-7.9181246047624804E-2</v>
      </c>
      <c r="AW31" s="91">
        <v>-7.9181246047624804E-2</v>
      </c>
      <c r="AX31" s="75">
        <f t="shared" si="19"/>
        <v>0</v>
      </c>
      <c r="AY31" s="59">
        <f t="shared" ref="AY31" si="214">AVERAGE(AX31:AX32)</f>
        <v>-3.9590623023812402E-2</v>
      </c>
      <c r="AZ31" s="91">
        <v>0</v>
      </c>
      <c r="BA31" s="75">
        <f t="shared" si="21"/>
        <v>7.9181246047624804E-2</v>
      </c>
      <c r="BB31" s="98">
        <f t="shared" ref="BB31" si="215">AVERAGE(BA31:BA32)</f>
        <v>3.9590623023812402E-2</v>
      </c>
      <c r="BC31" s="92">
        <v>-7.9181246047624804E-2</v>
      </c>
      <c r="BD31" s="92">
        <v>-7.9181246047624804E-2</v>
      </c>
      <c r="BE31" s="71">
        <f t="shared" si="23"/>
        <v>0</v>
      </c>
      <c r="BF31" s="78">
        <f t="shared" ref="BF31" si="216">AVERAGE(BE31:BE32)</f>
        <v>6.2469368304149973E-2</v>
      </c>
      <c r="BG31" s="92">
        <v>0.15490195998574319</v>
      </c>
      <c r="BH31" s="71">
        <f t="shared" si="25"/>
        <v>0.23408320603336799</v>
      </c>
      <c r="BI31" s="98">
        <f t="shared" ref="BI31" si="217">AVERAGE(BH31:BH32)</f>
        <v>0.2050872325445246</v>
      </c>
      <c r="BJ31" s="93">
        <v>100</v>
      </c>
      <c r="BK31" s="94">
        <v>100</v>
      </c>
    </row>
    <row r="32" spans="1:63" ht="15" customHeight="1">
      <c r="A32" s="81"/>
      <c r="B32" s="82"/>
      <c r="C32" s="121"/>
      <c r="D32" s="84"/>
      <c r="E32" s="107">
        <v>-1.75</v>
      </c>
      <c r="F32" s="59"/>
      <c r="G32" s="278"/>
      <c r="H32" s="86" t="s">
        <v>10</v>
      </c>
      <c r="I32" s="126">
        <v>24.87</v>
      </c>
      <c r="J32" s="56"/>
      <c r="K32" s="127">
        <v>24.89</v>
      </c>
      <c r="L32" s="58">
        <f t="shared" si="201"/>
        <v>1.9999999999999574E-2</v>
      </c>
      <c r="M32" s="59"/>
      <c r="N32" s="128">
        <v>24.83</v>
      </c>
      <c r="O32" s="60">
        <f t="shared" si="203"/>
        <v>-6.0000000000002274E-2</v>
      </c>
      <c r="P32" s="56"/>
      <c r="Q32" s="110">
        <v>24.84</v>
      </c>
      <c r="R32" s="61">
        <f t="shared" si="205"/>
        <v>-5.0000000000000711E-2</v>
      </c>
      <c r="S32" s="59"/>
      <c r="T32" s="128">
        <v>24.86</v>
      </c>
      <c r="U32" s="60">
        <f t="shared" si="5"/>
        <v>-3.0000000000001137E-2</v>
      </c>
      <c r="V32" s="56"/>
      <c r="W32" s="110">
        <v>24.97</v>
      </c>
      <c r="X32" s="61">
        <f t="shared" si="7"/>
        <v>7.9999999999998295E-2</v>
      </c>
      <c r="Y32" s="59"/>
      <c r="Z32" s="61">
        <f t="shared" si="9"/>
        <v>0.12999999999999901</v>
      </c>
      <c r="AA32" s="59"/>
      <c r="AB32" s="111">
        <v>3115</v>
      </c>
      <c r="AC32" s="66"/>
      <c r="AD32" s="112">
        <v>3051</v>
      </c>
      <c r="AE32" s="112">
        <v>3033</v>
      </c>
      <c r="AF32" s="71">
        <f t="shared" si="11"/>
        <v>-18</v>
      </c>
      <c r="AG32" s="78"/>
      <c r="AH32" s="112">
        <v>3006</v>
      </c>
      <c r="AI32" s="71">
        <f t="shared" si="13"/>
        <v>-45</v>
      </c>
      <c r="AJ32" s="78"/>
      <c r="AK32" s="113">
        <v>12</v>
      </c>
      <c r="AL32" s="78"/>
      <c r="AM32" s="114">
        <v>15</v>
      </c>
      <c r="AN32" s="114">
        <v>11</v>
      </c>
      <c r="AO32" s="70">
        <f t="shared" si="15"/>
        <v>-4</v>
      </c>
      <c r="AP32" s="78"/>
      <c r="AQ32" s="114">
        <v>10</v>
      </c>
      <c r="AR32" s="71">
        <f t="shared" si="17"/>
        <v>-5</v>
      </c>
      <c r="AS32" s="59"/>
      <c r="AT32" s="90">
        <v>0.82390874094431876</v>
      </c>
      <c r="AU32" s="73"/>
      <c r="AV32" s="91">
        <v>0</v>
      </c>
      <c r="AW32" s="91">
        <v>-7.9181246047624804E-2</v>
      </c>
      <c r="AX32" s="75">
        <f t="shared" si="19"/>
        <v>-7.9181246047624804E-2</v>
      </c>
      <c r="AY32" s="59"/>
      <c r="AZ32" s="91">
        <v>0</v>
      </c>
      <c r="BA32" s="75">
        <f t="shared" si="21"/>
        <v>0</v>
      </c>
      <c r="BB32" s="100"/>
      <c r="BC32" s="92">
        <v>-7.9181246047624804E-2</v>
      </c>
      <c r="BD32" s="92">
        <v>4.5757490560675143E-2</v>
      </c>
      <c r="BE32" s="71">
        <f t="shared" si="23"/>
        <v>0.12493873660829995</v>
      </c>
      <c r="BF32" s="78"/>
      <c r="BG32" s="92">
        <v>9.691001300805642E-2</v>
      </c>
      <c r="BH32" s="71">
        <f t="shared" si="25"/>
        <v>0.17609125905568124</v>
      </c>
      <c r="BI32" s="100"/>
      <c r="BJ32" s="93"/>
      <c r="BK32" s="94"/>
    </row>
    <row r="33" spans="1:63" ht="15" customHeight="1">
      <c r="A33" s="95">
        <v>15</v>
      </c>
      <c r="B33" s="82" t="s">
        <v>28</v>
      </c>
      <c r="C33" s="129">
        <v>9.0219178082191789</v>
      </c>
      <c r="D33" s="106" t="s">
        <v>1</v>
      </c>
      <c r="E33" s="85">
        <v>-2.625</v>
      </c>
      <c r="F33" s="59">
        <f t="shared" si="0"/>
        <v>-2.5625</v>
      </c>
      <c r="G33" s="272">
        <v>41828</v>
      </c>
      <c r="H33" s="86" t="s">
        <v>9</v>
      </c>
      <c r="I33" s="103">
        <v>24.59</v>
      </c>
      <c r="J33" s="56">
        <f t="shared" si="1"/>
        <v>24.615000000000002</v>
      </c>
      <c r="K33" s="104">
        <v>24.67</v>
      </c>
      <c r="L33" s="58">
        <f t="shared" si="27"/>
        <v>8.0000000000001847E-2</v>
      </c>
      <c r="M33" s="59">
        <f t="shared" ref="M33" si="218">AVERAGE(L33:L34)</f>
        <v>0.11000000000000121</v>
      </c>
      <c r="N33" s="104">
        <v>24.69</v>
      </c>
      <c r="O33" s="60">
        <f t="shared" si="28"/>
        <v>1.9999999999999574E-2</v>
      </c>
      <c r="P33" s="56">
        <f t="shared" ref="P33" si="219">AVERAGE(O33:O34)</f>
        <v>0</v>
      </c>
      <c r="Q33" s="104">
        <v>24.55</v>
      </c>
      <c r="R33" s="61">
        <f t="shared" si="29"/>
        <v>-0.12000000000000099</v>
      </c>
      <c r="S33" s="59">
        <f t="shared" ref="S33" si="220">AVERAGE(R33:R34)</f>
        <v>-9.5000000000000639E-2</v>
      </c>
      <c r="T33" s="104">
        <v>24.73</v>
      </c>
      <c r="U33" s="60">
        <f t="shared" si="5"/>
        <v>5.9999999999998721E-2</v>
      </c>
      <c r="V33" s="56">
        <f t="shared" si="6"/>
        <v>3.4999999999998366E-2</v>
      </c>
      <c r="W33" s="104">
        <v>24.82</v>
      </c>
      <c r="X33" s="61">
        <f t="shared" si="7"/>
        <v>0.14999999999999858</v>
      </c>
      <c r="Y33" s="59">
        <f t="shared" ref="Y33" si="221">AVERAGE(X33:X34)</f>
        <v>0.10499999999999865</v>
      </c>
      <c r="Z33" s="61">
        <f t="shared" si="9"/>
        <v>0.26999999999999957</v>
      </c>
      <c r="AA33" s="59">
        <f t="shared" ref="AA33" si="222">AVERAGE(Z33:Z34)</f>
        <v>0.19999999999999929</v>
      </c>
      <c r="AB33" s="71">
        <v>3773</v>
      </c>
      <c r="AC33" s="99">
        <f t="shared" si="163"/>
        <v>3634.5</v>
      </c>
      <c r="AD33" s="87">
        <v>3952</v>
      </c>
      <c r="AE33" s="87">
        <v>3717</v>
      </c>
      <c r="AF33" s="71">
        <f t="shared" si="11"/>
        <v>-235</v>
      </c>
      <c r="AG33" s="78">
        <f t="shared" ref="AG33" si="223">AVERAGE(AF33:AF34)</f>
        <v>-111</v>
      </c>
      <c r="AH33" s="87">
        <v>3861</v>
      </c>
      <c r="AI33" s="71">
        <f t="shared" si="13"/>
        <v>-91</v>
      </c>
      <c r="AJ33" s="78">
        <f t="shared" ref="AJ33" si="224">AVERAGE(AI33:AI34)</f>
        <v>58.5</v>
      </c>
      <c r="AK33" s="88">
        <v>12</v>
      </c>
      <c r="AL33" s="78">
        <f t="shared" si="151"/>
        <v>13</v>
      </c>
      <c r="AM33" s="89">
        <v>12</v>
      </c>
      <c r="AN33" s="89">
        <v>11.5</v>
      </c>
      <c r="AO33" s="70">
        <f t="shared" si="15"/>
        <v>-0.5</v>
      </c>
      <c r="AP33" s="78">
        <f t="shared" ref="AP33" si="225">AVERAGE(AO33:AO34)</f>
        <v>0</v>
      </c>
      <c r="AQ33" s="89">
        <v>11.7</v>
      </c>
      <c r="AR33" s="71">
        <f t="shared" si="17"/>
        <v>-0.30000000000000071</v>
      </c>
      <c r="AS33" s="59">
        <f t="shared" ref="AS33" si="226">AVERAGE(AR33:AR34)</f>
        <v>-1</v>
      </c>
      <c r="AT33" s="90">
        <v>0.52287874528033762</v>
      </c>
      <c r="AU33" s="73">
        <v>0.46040937697618761</v>
      </c>
      <c r="AV33" s="91">
        <v>-7.9181246047624804E-2</v>
      </c>
      <c r="AW33" s="91">
        <v>-7.9181246047624804E-2</v>
      </c>
      <c r="AX33" s="75">
        <f t="shared" si="19"/>
        <v>0</v>
      </c>
      <c r="AY33" s="59">
        <f t="shared" ref="AY33" si="227">AVERAGE(AX33:AX34)</f>
        <v>0</v>
      </c>
      <c r="AZ33" s="91">
        <v>-7.9181246047624804E-2</v>
      </c>
      <c r="BA33" s="75">
        <f t="shared" si="21"/>
        <v>0</v>
      </c>
      <c r="BB33" s="59">
        <f t="shared" ref="BB33" si="228">AVERAGE(BA33:BA34)</f>
        <v>0</v>
      </c>
      <c r="BC33" s="92">
        <v>-7.9181246047624804E-2</v>
      </c>
      <c r="BD33" s="92">
        <v>-7.9181246047624804E-2</v>
      </c>
      <c r="BE33" s="71">
        <f t="shared" si="23"/>
        <v>0</v>
      </c>
      <c r="BF33" s="78">
        <f t="shared" ref="BF33" si="229">AVERAGE(BE33:BE34)</f>
        <v>0</v>
      </c>
      <c r="BG33" s="92">
        <v>-7.9181246047624804E-2</v>
      </c>
      <c r="BH33" s="71">
        <f t="shared" si="25"/>
        <v>0</v>
      </c>
      <c r="BI33" s="78">
        <f t="shared" ref="BI33" si="230">AVERAGE(BH33:BH34)</f>
        <v>0</v>
      </c>
      <c r="BJ33" s="93">
        <v>100</v>
      </c>
      <c r="BK33" s="94">
        <v>100</v>
      </c>
    </row>
    <row r="34" spans="1:63" ht="15" customHeight="1">
      <c r="A34" s="81"/>
      <c r="B34" s="82"/>
      <c r="C34" s="102"/>
      <c r="D34" s="84"/>
      <c r="E34" s="85">
        <v>-2.5</v>
      </c>
      <c r="F34" s="59"/>
      <c r="G34" s="271"/>
      <c r="H34" s="54" t="s">
        <v>10</v>
      </c>
      <c r="I34" s="55">
        <v>24.64</v>
      </c>
      <c r="J34" s="56"/>
      <c r="K34" s="86">
        <v>24.78</v>
      </c>
      <c r="L34" s="58">
        <f t="shared" si="27"/>
        <v>0.14000000000000057</v>
      </c>
      <c r="M34" s="59"/>
      <c r="N34" s="86">
        <v>24.76</v>
      </c>
      <c r="O34" s="60">
        <f t="shared" si="28"/>
        <v>-1.9999999999999574E-2</v>
      </c>
      <c r="P34" s="56"/>
      <c r="Q34" s="86">
        <v>24.71</v>
      </c>
      <c r="R34" s="61">
        <f t="shared" si="29"/>
        <v>-7.0000000000000284E-2</v>
      </c>
      <c r="S34" s="59"/>
      <c r="T34" s="86">
        <v>24.79</v>
      </c>
      <c r="U34" s="60">
        <f t="shared" si="5"/>
        <v>9.9999999999980105E-3</v>
      </c>
      <c r="V34" s="56"/>
      <c r="W34" s="86">
        <v>24.84</v>
      </c>
      <c r="X34" s="61">
        <f t="shared" si="7"/>
        <v>5.9999999999998721E-2</v>
      </c>
      <c r="Y34" s="59"/>
      <c r="Z34" s="61">
        <f t="shared" si="9"/>
        <v>0.12999999999999901</v>
      </c>
      <c r="AA34" s="59"/>
      <c r="AB34" s="71">
        <v>3496</v>
      </c>
      <c r="AC34" s="66"/>
      <c r="AD34" s="87">
        <v>3623</v>
      </c>
      <c r="AE34" s="87">
        <v>3636</v>
      </c>
      <c r="AF34" s="71">
        <f t="shared" si="11"/>
        <v>13</v>
      </c>
      <c r="AG34" s="78"/>
      <c r="AH34" s="87">
        <v>3831</v>
      </c>
      <c r="AI34" s="71">
        <f t="shared" si="13"/>
        <v>208</v>
      </c>
      <c r="AJ34" s="78"/>
      <c r="AK34" s="88">
        <v>14</v>
      </c>
      <c r="AL34" s="78"/>
      <c r="AM34" s="89">
        <v>12</v>
      </c>
      <c r="AN34" s="89">
        <v>12.5</v>
      </c>
      <c r="AO34" s="70">
        <f t="shared" si="15"/>
        <v>0.5</v>
      </c>
      <c r="AP34" s="78"/>
      <c r="AQ34" s="89">
        <v>10.3</v>
      </c>
      <c r="AR34" s="71">
        <f t="shared" si="17"/>
        <v>-1.6999999999999993</v>
      </c>
      <c r="AS34" s="59"/>
      <c r="AT34" s="90">
        <v>0.3979400086720376</v>
      </c>
      <c r="AU34" s="73"/>
      <c r="AV34" s="91">
        <v>-7.9181246047624804E-2</v>
      </c>
      <c r="AW34" s="91">
        <v>-7.9181246047624804E-2</v>
      </c>
      <c r="AX34" s="75">
        <f t="shared" si="19"/>
        <v>0</v>
      </c>
      <c r="AY34" s="59"/>
      <c r="AZ34" s="91">
        <v>-7.9181246047624804E-2</v>
      </c>
      <c r="BA34" s="75">
        <f t="shared" si="21"/>
        <v>0</v>
      </c>
      <c r="BB34" s="59"/>
      <c r="BC34" s="92">
        <v>-7.9181246047624804E-2</v>
      </c>
      <c r="BD34" s="92">
        <v>-7.9181246047624804E-2</v>
      </c>
      <c r="BE34" s="71">
        <f t="shared" si="23"/>
        <v>0</v>
      </c>
      <c r="BF34" s="78"/>
      <c r="BG34" s="92">
        <v>-7.9181246047624804E-2</v>
      </c>
      <c r="BH34" s="71">
        <f t="shared" si="25"/>
        <v>0</v>
      </c>
      <c r="BI34" s="78"/>
      <c r="BJ34" s="93"/>
      <c r="BK34" s="94"/>
    </row>
    <row r="35" spans="1:63" ht="15" customHeight="1">
      <c r="A35" s="95">
        <v>16</v>
      </c>
      <c r="B35" s="82" t="s">
        <v>28</v>
      </c>
      <c r="C35" s="101">
        <v>10.076712328767123</v>
      </c>
      <c r="D35" s="97" t="s">
        <v>1</v>
      </c>
      <c r="E35" s="85">
        <v>-2.5</v>
      </c>
      <c r="F35" s="59">
        <f t="shared" si="0"/>
        <v>-2.5</v>
      </c>
      <c r="G35" s="272">
        <v>41845</v>
      </c>
      <c r="H35" s="54" t="s">
        <v>9</v>
      </c>
      <c r="I35" s="55">
        <v>25.04</v>
      </c>
      <c r="J35" s="56">
        <f t="shared" si="1"/>
        <v>25.03</v>
      </c>
      <c r="K35" s="86">
        <v>25.13</v>
      </c>
      <c r="L35" s="58">
        <f t="shared" si="27"/>
        <v>8.9999999999999858E-2</v>
      </c>
      <c r="M35" s="59">
        <f t="shared" ref="M35" si="231">AVERAGE(L35:L36)</f>
        <v>7.0000000000000284E-2</v>
      </c>
      <c r="N35" s="86">
        <v>25.26</v>
      </c>
      <c r="O35" s="60">
        <f t="shared" si="28"/>
        <v>0.13000000000000256</v>
      </c>
      <c r="P35" s="56">
        <f t="shared" ref="P35" si="232">AVERAGE(O35:O36)</f>
        <v>9.0000000000001634E-2</v>
      </c>
      <c r="Q35" s="86">
        <v>25.33</v>
      </c>
      <c r="R35" s="61">
        <f t="shared" si="29"/>
        <v>0.19999999999999929</v>
      </c>
      <c r="S35" s="59">
        <f t="shared" ref="S35" si="233">AVERAGE(R35:R36)</f>
        <v>0.15000000000000036</v>
      </c>
      <c r="T35" s="86">
        <v>25.45</v>
      </c>
      <c r="U35" s="60">
        <f t="shared" si="5"/>
        <v>0.32000000000000028</v>
      </c>
      <c r="V35" s="56">
        <f t="shared" si="6"/>
        <v>0.25999999999999979</v>
      </c>
      <c r="W35" s="86">
        <v>25.52</v>
      </c>
      <c r="X35" s="61">
        <f t="shared" si="7"/>
        <v>0.39000000000000057</v>
      </c>
      <c r="Y35" s="59">
        <f t="shared" ref="Y35" si="234">AVERAGE(X35:X36)</f>
        <v>0.30499999999999972</v>
      </c>
      <c r="Z35" s="61">
        <f t="shared" si="9"/>
        <v>0.19000000000000128</v>
      </c>
      <c r="AA35" s="59">
        <f t="shared" ref="AA35" si="235">AVERAGE(Z35:Z36)</f>
        <v>0.15499999999999936</v>
      </c>
      <c r="AB35" s="71">
        <v>3508</v>
      </c>
      <c r="AC35" s="99">
        <f t="shared" si="163"/>
        <v>3443</v>
      </c>
      <c r="AD35" s="87">
        <v>3184</v>
      </c>
      <c r="AE35" s="87">
        <v>3154</v>
      </c>
      <c r="AF35" s="71">
        <f t="shared" si="11"/>
        <v>-30</v>
      </c>
      <c r="AG35" s="78">
        <f t="shared" ref="AG35" si="236">AVERAGE(AF35:AF36)</f>
        <v>130.5</v>
      </c>
      <c r="AH35" s="87">
        <v>3086</v>
      </c>
      <c r="AI35" s="71">
        <f t="shared" si="13"/>
        <v>-98</v>
      </c>
      <c r="AJ35" s="78">
        <f t="shared" ref="AJ35" si="237">AVERAGE(AI35:AI36)</f>
        <v>-142.5</v>
      </c>
      <c r="AK35" s="88">
        <v>14.5</v>
      </c>
      <c r="AL35" s="78">
        <f t="shared" si="151"/>
        <v>14.75</v>
      </c>
      <c r="AM35" s="89">
        <v>18</v>
      </c>
      <c r="AN35" s="89">
        <v>16</v>
      </c>
      <c r="AO35" s="70">
        <f t="shared" si="15"/>
        <v>-2</v>
      </c>
      <c r="AP35" s="78">
        <f t="shared" ref="AP35" si="238">AVERAGE(AO35:AO36)</f>
        <v>-0.75</v>
      </c>
      <c r="AQ35" s="89">
        <v>16.5</v>
      </c>
      <c r="AR35" s="71">
        <f t="shared" si="17"/>
        <v>-1.5</v>
      </c>
      <c r="AS35" s="59">
        <f t="shared" ref="AS35" si="239">AVERAGE(AR35:AR36)</f>
        <v>0.25</v>
      </c>
      <c r="AT35" s="90">
        <v>0.52287874528033762</v>
      </c>
      <c r="AU35" s="73">
        <v>0.52287874528033762</v>
      </c>
      <c r="AV35" s="91">
        <v>-7.9181246047624804E-2</v>
      </c>
      <c r="AW35" s="91">
        <v>0</v>
      </c>
      <c r="AX35" s="75">
        <f t="shared" si="19"/>
        <v>7.9181246047624804E-2</v>
      </c>
      <c r="AY35" s="59">
        <f t="shared" ref="AY35" si="240">AVERAGE(AX35:AX36)</f>
        <v>7.9181246047624804E-2</v>
      </c>
      <c r="AZ35" s="91">
        <v>0.22184874961635639</v>
      </c>
      <c r="BA35" s="75">
        <f t="shared" si="21"/>
        <v>0.3010299956639812</v>
      </c>
      <c r="BB35" s="59">
        <f t="shared" ref="BB35" si="241">AVERAGE(BA35:BA36)</f>
        <v>0.21298436613614058</v>
      </c>
      <c r="BC35" s="92">
        <v>-7.9181246047624804E-2</v>
      </c>
      <c r="BD35" s="92">
        <v>0</v>
      </c>
      <c r="BE35" s="71">
        <f t="shared" si="23"/>
        <v>7.9181246047624804E-2</v>
      </c>
      <c r="BF35" s="78">
        <f t="shared" ref="BF35" si="242">AVERAGE(BE35:BE36)</f>
        <v>0.10205999132796237</v>
      </c>
      <c r="BG35" s="92">
        <v>-7.9181246047624804E-2</v>
      </c>
      <c r="BH35" s="71">
        <f t="shared" si="25"/>
        <v>0</v>
      </c>
      <c r="BI35" s="78">
        <f t="shared" ref="BI35" si="243">AVERAGE(BH35:BH36)</f>
        <v>0</v>
      </c>
      <c r="BJ35" s="93">
        <v>100</v>
      </c>
      <c r="BK35" s="94">
        <v>100</v>
      </c>
    </row>
    <row r="36" spans="1:63" ht="15" customHeight="1">
      <c r="A36" s="81"/>
      <c r="B36" s="82"/>
      <c r="C36" s="102"/>
      <c r="D36" s="84"/>
      <c r="E36" s="85">
        <v>-2.5</v>
      </c>
      <c r="F36" s="59"/>
      <c r="G36" s="271"/>
      <c r="H36" s="54" t="s">
        <v>10</v>
      </c>
      <c r="I36" s="55">
        <v>25.02</v>
      </c>
      <c r="J36" s="56"/>
      <c r="K36" s="86">
        <v>25.07</v>
      </c>
      <c r="L36" s="58">
        <f t="shared" si="27"/>
        <v>5.0000000000000711E-2</v>
      </c>
      <c r="M36" s="59"/>
      <c r="N36" s="86">
        <v>25.12</v>
      </c>
      <c r="O36" s="60">
        <f t="shared" si="28"/>
        <v>5.0000000000000711E-2</v>
      </c>
      <c r="P36" s="56"/>
      <c r="Q36" s="86">
        <v>25.17</v>
      </c>
      <c r="R36" s="61">
        <f t="shared" si="29"/>
        <v>0.10000000000000142</v>
      </c>
      <c r="S36" s="59"/>
      <c r="T36" s="86">
        <v>25.27</v>
      </c>
      <c r="U36" s="60">
        <f t="shared" si="5"/>
        <v>0.19999999999999929</v>
      </c>
      <c r="V36" s="56"/>
      <c r="W36" s="86">
        <v>25.29</v>
      </c>
      <c r="X36" s="61">
        <f t="shared" si="7"/>
        <v>0.21999999999999886</v>
      </c>
      <c r="Y36" s="59"/>
      <c r="Z36" s="61">
        <f t="shared" si="9"/>
        <v>0.11999999999999744</v>
      </c>
      <c r="AA36" s="59"/>
      <c r="AB36" s="71">
        <v>3378</v>
      </c>
      <c r="AC36" s="66"/>
      <c r="AD36" s="87">
        <v>3412</v>
      </c>
      <c r="AE36" s="87">
        <v>3703</v>
      </c>
      <c r="AF36" s="71">
        <f t="shared" si="11"/>
        <v>291</v>
      </c>
      <c r="AG36" s="78"/>
      <c r="AH36" s="87">
        <v>3225</v>
      </c>
      <c r="AI36" s="71">
        <f t="shared" si="13"/>
        <v>-187</v>
      </c>
      <c r="AJ36" s="78"/>
      <c r="AK36" s="88">
        <v>15</v>
      </c>
      <c r="AL36" s="78"/>
      <c r="AM36" s="89">
        <v>13</v>
      </c>
      <c r="AN36" s="89">
        <v>13.5</v>
      </c>
      <c r="AO36" s="70">
        <f t="shared" si="15"/>
        <v>0.5</v>
      </c>
      <c r="AP36" s="78"/>
      <c r="AQ36" s="89">
        <v>15</v>
      </c>
      <c r="AR36" s="71">
        <f t="shared" si="17"/>
        <v>2</v>
      </c>
      <c r="AS36" s="59"/>
      <c r="AT36" s="90">
        <v>0.52287874528033762</v>
      </c>
      <c r="AU36" s="73"/>
      <c r="AV36" s="91">
        <v>-7.9181246047624804E-2</v>
      </c>
      <c r="AW36" s="91">
        <v>0</v>
      </c>
      <c r="AX36" s="75">
        <f t="shared" si="19"/>
        <v>7.9181246047624804E-2</v>
      </c>
      <c r="AY36" s="59"/>
      <c r="AZ36" s="91">
        <v>4.5757490560675143E-2</v>
      </c>
      <c r="BA36" s="75">
        <f t="shared" si="21"/>
        <v>0.12493873660829995</v>
      </c>
      <c r="BB36" s="59"/>
      <c r="BC36" s="92">
        <v>-7.9181246047624804E-2</v>
      </c>
      <c r="BD36" s="92">
        <v>4.5757490560675143E-2</v>
      </c>
      <c r="BE36" s="71">
        <f t="shared" si="23"/>
        <v>0.12493873660829995</v>
      </c>
      <c r="BF36" s="78"/>
      <c r="BG36" s="92">
        <v>-7.9181246047624804E-2</v>
      </c>
      <c r="BH36" s="71">
        <f t="shared" si="25"/>
        <v>0</v>
      </c>
      <c r="BI36" s="78"/>
      <c r="BJ36" s="93"/>
      <c r="BK36" s="94"/>
    </row>
    <row r="37" spans="1:63" ht="15" customHeight="1">
      <c r="A37" s="95">
        <v>17</v>
      </c>
      <c r="B37" s="82" t="s">
        <v>28</v>
      </c>
      <c r="C37" s="101">
        <v>10.07123287671233</v>
      </c>
      <c r="D37" s="97" t="s">
        <v>1</v>
      </c>
      <c r="E37" s="85">
        <v>-3.75</v>
      </c>
      <c r="F37" s="59">
        <f t="shared" si="0"/>
        <v>-3.375</v>
      </c>
      <c r="G37" s="272">
        <v>42170</v>
      </c>
      <c r="H37" s="54" t="s">
        <v>9</v>
      </c>
      <c r="I37" s="55">
        <v>24.42</v>
      </c>
      <c r="J37" s="56">
        <f t="shared" si="1"/>
        <v>24.315000000000001</v>
      </c>
      <c r="K37" s="86">
        <v>24.46</v>
      </c>
      <c r="L37" s="58">
        <f t="shared" si="27"/>
        <v>3.9999999999999147E-2</v>
      </c>
      <c r="M37" s="59">
        <f t="shared" ref="M37" si="244">AVERAGE(L37:L38)</f>
        <v>6.9999999999998508E-2</v>
      </c>
      <c r="N37" s="86">
        <v>24.67</v>
      </c>
      <c r="O37" s="60">
        <f t="shared" si="28"/>
        <v>0.21000000000000085</v>
      </c>
      <c r="P37" s="56">
        <f t="shared" ref="P37" si="245">AVERAGE(O37:O38)</f>
        <v>0.19500000000000028</v>
      </c>
      <c r="Q37" s="86">
        <v>24.79</v>
      </c>
      <c r="R37" s="61">
        <f t="shared" si="29"/>
        <v>0.32999999999999829</v>
      </c>
      <c r="S37" s="59">
        <f t="shared" ref="S37" si="246">AVERAGE(R37:R38)</f>
        <v>0.3100000000000005</v>
      </c>
      <c r="T37" s="86">
        <v>24.89</v>
      </c>
      <c r="U37" s="60">
        <f t="shared" ref="U37:U68" si="247">T37-K37</f>
        <v>0.42999999999999972</v>
      </c>
      <c r="V37" s="56">
        <f t="shared" si="6"/>
        <v>0.39500000000000135</v>
      </c>
      <c r="W37" s="86">
        <v>24.82</v>
      </c>
      <c r="X37" s="61">
        <f t="shared" ref="X37:X68" si="248">W37-K37</f>
        <v>0.35999999999999943</v>
      </c>
      <c r="Y37" s="59">
        <f t="shared" ref="Y37:Y39" si="249">AVERAGE(X37:X38)</f>
        <v>0.38000000000000078</v>
      </c>
      <c r="Z37" s="61">
        <f t="shared" ref="Z37:Z68" si="250">W37-Q37</f>
        <v>3.0000000000001137E-2</v>
      </c>
      <c r="AA37" s="59">
        <f t="shared" ref="AA37" si="251">AVERAGE(Z37:Z38)</f>
        <v>7.0000000000000284E-2</v>
      </c>
      <c r="AB37" s="71">
        <v>3610</v>
      </c>
      <c r="AC37" s="99">
        <f t="shared" si="163"/>
        <v>3455</v>
      </c>
      <c r="AD37" s="87">
        <v>3717</v>
      </c>
      <c r="AE37" s="87">
        <v>3610</v>
      </c>
      <c r="AF37" s="71">
        <f t="shared" ref="AF37:AF68" si="252">AE37-AD37</f>
        <v>-107</v>
      </c>
      <c r="AG37" s="78">
        <f t="shared" ref="AG37" si="253">AVERAGE(AF37:AF38)</f>
        <v>24</v>
      </c>
      <c r="AH37" s="87">
        <v>3289</v>
      </c>
      <c r="AI37" s="71">
        <f t="shared" ref="AI37:AI68" si="254">AH37-AD37</f>
        <v>-428</v>
      </c>
      <c r="AJ37" s="78">
        <f t="shared" ref="AJ37" si="255">AVERAGE(AI37:AI38)</f>
        <v>-200.5</v>
      </c>
      <c r="AK37" s="88">
        <v>13.5</v>
      </c>
      <c r="AL37" s="78">
        <f t="shared" si="151"/>
        <v>13.25</v>
      </c>
      <c r="AM37" s="89">
        <v>12.5</v>
      </c>
      <c r="AN37" s="89">
        <v>10.5</v>
      </c>
      <c r="AO37" s="70">
        <f t="shared" ref="AO37:AO68" si="256">AN37-AM37</f>
        <v>-2</v>
      </c>
      <c r="AP37" s="78">
        <f t="shared" ref="AP37" si="257">AVERAGE(AO37:AO38)</f>
        <v>-2.5</v>
      </c>
      <c r="AQ37" s="89">
        <v>10</v>
      </c>
      <c r="AR37" s="71">
        <f t="shared" ref="AR37:AR68" si="258">AQ37-AM37</f>
        <v>-2.5</v>
      </c>
      <c r="AS37" s="59">
        <f t="shared" ref="AS37" si="259">AVERAGE(AR37:AR38)</f>
        <v>-2.75</v>
      </c>
      <c r="AT37" s="90">
        <v>1.0969100130080565</v>
      </c>
      <c r="AU37" s="73">
        <v>1.0484550065040281</v>
      </c>
      <c r="AV37" s="91">
        <v>-7.9181246047624804E-2</v>
      </c>
      <c r="AW37" s="91">
        <v>4.5757490560675143E-2</v>
      </c>
      <c r="AX37" s="75">
        <f t="shared" ref="AX37:AX68" si="260">AW37-AV37</f>
        <v>0.12493873660829995</v>
      </c>
      <c r="AY37" s="59">
        <f t="shared" ref="AY37" si="261">AVERAGE(AX37:AX38)</f>
        <v>8.5348113584487545E-2</v>
      </c>
      <c r="AZ37" s="91">
        <v>-7.9181246047624804E-2</v>
      </c>
      <c r="BA37" s="75">
        <f t="shared" ref="BA37:BA68" si="262">AZ37-AV37</f>
        <v>0</v>
      </c>
      <c r="BB37" s="59">
        <f t="shared" ref="BB37" si="263">AVERAGE(BA37:BA38)</f>
        <v>0</v>
      </c>
      <c r="BC37" s="92">
        <v>0.3010299956639812</v>
      </c>
      <c r="BD37" s="92">
        <v>0.3979400086720376</v>
      </c>
      <c r="BE37" s="71">
        <f t="shared" ref="BE37:BE68" si="264">BD37-BC37</f>
        <v>9.6910013008056406E-2</v>
      </c>
      <c r="BF37" s="78">
        <f t="shared" ref="BF37" si="265">AVERAGE(BE37:BE38)</f>
        <v>1.4981611688721599E-2</v>
      </c>
      <c r="BG37" s="92">
        <v>9.691001300805642E-2</v>
      </c>
      <c r="BH37" s="71">
        <f t="shared" ref="BH37:BH68" si="266">BG37-BC37</f>
        <v>-0.20411998265592479</v>
      </c>
      <c r="BI37" s="78">
        <f t="shared" ref="BI37" si="267">AVERAGE(BH37:BH38)</f>
        <v>-0.19010562085580301</v>
      </c>
      <c r="BJ37" s="93">
        <v>100</v>
      </c>
      <c r="BK37" s="94">
        <v>98</v>
      </c>
    </row>
    <row r="38" spans="1:63" ht="15" customHeight="1">
      <c r="A38" s="81"/>
      <c r="B38" s="82"/>
      <c r="C38" s="102"/>
      <c r="D38" s="84"/>
      <c r="E38" s="85">
        <v>-3</v>
      </c>
      <c r="F38" s="59"/>
      <c r="G38" s="271"/>
      <c r="H38" s="54" t="s">
        <v>10</v>
      </c>
      <c r="I38" s="55">
        <v>24.21</v>
      </c>
      <c r="J38" s="56"/>
      <c r="K38" s="86">
        <v>24.31</v>
      </c>
      <c r="L38" s="58">
        <f t="shared" si="27"/>
        <v>9.9999999999997868E-2</v>
      </c>
      <c r="M38" s="59"/>
      <c r="N38" s="86">
        <v>24.49</v>
      </c>
      <c r="O38" s="60">
        <f t="shared" si="28"/>
        <v>0.17999999999999972</v>
      </c>
      <c r="P38" s="56"/>
      <c r="Q38" s="86">
        <v>24.6</v>
      </c>
      <c r="R38" s="61">
        <f t="shared" si="29"/>
        <v>0.2900000000000027</v>
      </c>
      <c r="S38" s="59"/>
      <c r="T38" s="86">
        <v>24.67</v>
      </c>
      <c r="U38" s="60">
        <f t="shared" si="247"/>
        <v>0.36000000000000298</v>
      </c>
      <c r="V38" s="56"/>
      <c r="W38" s="86">
        <v>24.71</v>
      </c>
      <c r="X38" s="61">
        <f t="shared" si="248"/>
        <v>0.40000000000000213</v>
      </c>
      <c r="Y38" s="59"/>
      <c r="Z38" s="61">
        <f t="shared" si="250"/>
        <v>0.10999999999999943</v>
      </c>
      <c r="AA38" s="59"/>
      <c r="AB38" s="71">
        <v>3300</v>
      </c>
      <c r="AC38" s="66"/>
      <c r="AD38" s="87">
        <v>3676</v>
      </c>
      <c r="AE38" s="87">
        <v>3831</v>
      </c>
      <c r="AF38" s="71">
        <f t="shared" si="252"/>
        <v>155</v>
      </c>
      <c r="AG38" s="78"/>
      <c r="AH38" s="87">
        <v>3703</v>
      </c>
      <c r="AI38" s="71">
        <f t="shared" si="254"/>
        <v>27</v>
      </c>
      <c r="AJ38" s="78"/>
      <c r="AK38" s="88">
        <v>13</v>
      </c>
      <c r="AL38" s="78"/>
      <c r="AM38" s="89">
        <v>14</v>
      </c>
      <c r="AN38" s="89">
        <v>11</v>
      </c>
      <c r="AO38" s="70">
        <f t="shared" si="256"/>
        <v>-3</v>
      </c>
      <c r="AP38" s="78"/>
      <c r="AQ38" s="89">
        <v>11</v>
      </c>
      <c r="AR38" s="71">
        <f t="shared" si="258"/>
        <v>-3</v>
      </c>
      <c r="AS38" s="59"/>
      <c r="AT38" s="90">
        <v>1</v>
      </c>
      <c r="AU38" s="73"/>
      <c r="AV38" s="91">
        <v>0</v>
      </c>
      <c r="AW38" s="91">
        <v>4.5757490560675143E-2</v>
      </c>
      <c r="AX38" s="75">
        <f t="shared" si="260"/>
        <v>4.5757490560675143E-2</v>
      </c>
      <c r="AY38" s="59"/>
      <c r="AZ38" s="91">
        <v>0</v>
      </c>
      <c r="BA38" s="75">
        <f t="shared" si="262"/>
        <v>0</v>
      </c>
      <c r="BB38" s="59"/>
      <c r="BC38" s="92">
        <v>0.22184874961635639</v>
      </c>
      <c r="BD38" s="92">
        <v>0.15490195998574319</v>
      </c>
      <c r="BE38" s="71">
        <f t="shared" si="264"/>
        <v>-6.6946789630613207E-2</v>
      </c>
      <c r="BF38" s="78"/>
      <c r="BG38" s="92">
        <v>4.5757490560675143E-2</v>
      </c>
      <c r="BH38" s="71">
        <f t="shared" si="266"/>
        <v>-0.17609125905568124</v>
      </c>
      <c r="BI38" s="78"/>
      <c r="BJ38" s="93"/>
      <c r="BK38" s="94"/>
    </row>
    <row r="39" spans="1:63" ht="15" customHeight="1">
      <c r="A39" s="95">
        <v>18</v>
      </c>
      <c r="B39" s="82" t="s">
        <v>28</v>
      </c>
      <c r="C39" s="130">
        <v>10.846575342465753</v>
      </c>
      <c r="D39" s="97" t="s">
        <v>1</v>
      </c>
      <c r="E39" s="85">
        <v>-4.25</v>
      </c>
      <c r="F39" s="59">
        <f t="shared" si="0"/>
        <v>-3.625</v>
      </c>
      <c r="G39" s="272">
        <v>42244</v>
      </c>
      <c r="H39" s="54" t="s">
        <v>9</v>
      </c>
      <c r="I39" s="103">
        <v>25.13</v>
      </c>
      <c r="J39" s="56">
        <f t="shared" si="1"/>
        <v>24.954999999999998</v>
      </c>
      <c r="K39" s="104">
        <v>25.05</v>
      </c>
      <c r="L39" s="58">
        <f t="shared" si="27"/>
        <v>-7.9999999999998295E-2</v>
      </c>
      <c r="M39" s="59">
        <f t="shared" ref="M39" si="268">AVERAGE(L39:L40)</f>
        <v>-2.9999999999999361E-2</v>
      </c>
      <c r="N39" s="104">
        <v>25.04</v>
      </c>
      <c r="O39" s="60">
        <f t="shared" si="28"/>
        <v>-1.0000000000001563E-2</v>
      </c>
      <c r="P39" s="131">
        <v>0</v>
      </c>
      <c r="Q39" s="104">
        <v>25.17</v>
      </c>
      <c r="R39" s="61">
        <f t="shared" si="29"/>
        <v>0.12000000000000099</v>
      </c>
      <c r="S39" s="59">
        <f t="shared" ref="S39" si="269">AVERAGE(R39:R40)</f>
        <v>0.10500000000000043</v>
      </c>
      <c r="T39" s="104">
        <v>25.19</v>
      </c>
      <c r="U39" s="60">
        <f t="shared" si="247"/>
        <v>0.14000000000000057</v>
      </c>
      <c r="V39" s="56">
        <f t="shared" si="6"/>
        <v>0.11999999999999922</v>
      </c>
      <c r="W39" s="104">
        <v>25.27</v>
      </c>
      <c r="X39" s="61">
        <f t="shared" si="248"/>
        <v>0.21999999999999886</v>
      </c>
      <c r="Y39" s="59">
        <f t="shared" si="249"/>
        <v>0.17499999999999893</v>
      </c>
      <c r="Z39" s="61">
        <f t="shared" si="250"/>
        <v>9.9999999999997868E-2</v>
      </c>
      <c r="AA39" s="59">
        <f t="shared" ref="AA39" si="270">AVERAGE(Z39:Z40)</f>
        <v>6.9999999999998508E-2</v>
      </c>
      <c r="AB39" s="71">
        <v>3401</v>
      </c>
      <c r="AC39" s="99">
        <f t="shared" si="163"/>
        <v>3361.5</v>
      </c>
      <c r="AD39" s="87">
        <v>3115</v>
      </c>
      <c r="AE39" s="87">
        <v>3164</v>
      </c>
      <c r="AF39" s="71">
        <f t="shared" si="252"/>
        <v>49</v>
      </c>
      <c r="AG39" s="78">
        <f t="shared" ref="AG39" si="271">AVERAGE(AF39:AF40)</f>
        <v>-25.5</v>
      </c>
      <c r="AH39" s="87">
        <v>3134</v>
      </c>
      <c r="AI39" s="71">
        <f t="shared" si="254"/>
        <v>19</v>
      </c>
      <c r="AJ39" s="78">
        <f t="shared" ref="AJ39" si="272">AVERAGE(AI39:AI40)</f>
        <v>-16</v>
      </c>
      <c r="AK39" s="88">
        <v>14.5</v>
      </c>
      <c r="AL39" s="78">
        <f t="shared" si="151"/>
        <v>13.25</v>
      </c>
      <c r="AM39" s="89">
        <v>18.5</v>
      </c>
      <c r="AN39" s="89">
        <v>14.3</v>
      </c>
      <c r="AO39" s="70">
        <f t="shared" si="256"/>
        <v>-4.1999999999999993</v>
      </c>
      <c r="AP39" s="78">
        <f t="shared" ref="AP39" si="273">AVERAGE(AO39:AO40)</f>
        <v>-2.5</v>
      </c>
      <c r="AQ39" s="89">
        <v>14.3</v>
      </c>
      <c r="AR39" s="71">
        <f t="shared" si="258"/>
        <v>-4.1999999999999993</v>
      </c>
      <c r="AS39" s="59">
        <f t="shared" ref="AS39" si="274">AVERAGE(AR39:AR40)</f>
        <v>-2.3499999999999996</v>
      </c>
      <c r="AT39" s="90">
        <v>1.0969100130080565</v>
      </c>
      <c r="AU39" s="73">
        <v>1.0969100130080565</v>
      </c>
      <c r="AV39" s="91">
        <v>0</v>
      </c>
      <c r="AW39" s="91">
        <v>9.691001300805642E-2</v>
      </c>
      <c r="AX39" s="75">
        <f t="shared" si="260"/>
        <v>9.691001300805642E-2</v>
      </c>
      <c r="AY39" s="59">
        <f t="shared" ref="AY39" si="275">AVERAGE(AX39:AX40)</f>
        <v>9.691001300805642E-2</v>
      </c>
      <c r="AZ39" s="91">
        <v>9.691001300805642E-2</v>
      </c>
      <c r="BA39" s="75">
        <f t="shared" si="262"/>
        <v>9.691001300805642E-2</v>
      </c>
      <c r="BB39" s="59">
        <f t="shared" ref="BB39" si="276">AVERAGE(BA39:BA40)</f>
        <v>4.845500650402821E-2</v>
      </c>
      <c r="BC39" s="92">
        <v>4.5757490560675143E-2</v>
      </c>
      <c r="BD39" s="92">
        <v>4.5757490560675143E-2</v>
      </c>
      <c r="BE39" s="71">
        <f t="shared" si="264"/>
        <v>0</v>
      </c>
      <c r="BF39" s="78">
        <f t="shared" ref="BF39" si="277">AVERAGE(BE39:BE40)</f>
        <v>3.9590623023812402E-2</v>
      </c>
      <c r="BG39" s="92">
        <v>-7.9181246047624804E-2</v>
      </c>
      <c r="BH39" s="71">
        <f t="shared" si="266"/>
        <v>-0.12493873660829995</v>
      </c>
      <c r="BI39" s="78">
        <f t="shared" ref="BI39" si="278">AVERAGE(BH39:BH40)</f>
        <v>0</v>
      </c>
      <c r="BJ39" s="93">
        <v>86</v>
      </c>
      <c r="BK39" s="94">
        <v>93</v>
      </c>
    </row>
    <row r="40" spans="1:63" ht="15" customHeight="1">
      <c r="A40" s="81"/>
      <c r="B40" s="82"/>
      <c r="C40" s="132"/>
      <c r="D40" s="84"/>
      <c r="E40" s="85">
        <v>-3</v>
      </c>
      <c r="F40" s="59"/>
      <c r="G40" s="271"/>
      <c r="H40" s="86" t="s">
        <v>10</v>
      </c>
      <c r="I40" s="103">
        <v>24.78</v>
      </c>
      <c r="J40" s="94"/>
      <c r="K40" s="104">
        <v>24.8</v>
      </c>
      <c r="L40" s="58">
        <f t="shared" si="27"/>
        <v>1.9999999999999574E-2</v>
      </c>
      <c r="M40" s="59"/>
      <c r="N40" s="104">
        <v>24.81</v>
      </c>
      <c r="O40" s="60">
        <f t="shared" si="28"/>
        <v>9.9999999999980105E-3</v>
      </c>
      <c r="P40" s="133"/>
      <c r="Q40" s="104">
        <v>24.89</v>
      </c>
      <c r="R40" s="61">
        <f t="shared" si="29"/>
        <v>8.9999999999999858E-2</v>
      </c>
      <c r="S40" s="59"/>
      <c r="T40" s="104">
        <v>24.9</v>
      </c>
      <c r="U40" s="60">
        <f t="shared" si="247"/>
        <v>9.9999999999997868E-2</v>
      </c>
      <c r="V40" s="56"/>
      <c r="W40" s="104">
        <v>24.93</v>
      </c>
      <c r="X40" s="61">
        <f t="shared" si="248"/>
        <v>0.12999999999999901</v>
      </c>
      <c r="Y40" s="59"/>
      <c r="Z40" s="61">
        <f t="shared" si="250"/>
        <v>3.9999999999999147E-2</v>
      </c>
      <c r="AA40" s="59"/>
      <c r="AB40" s="71">
        <v>3322</v>
      </c>
      <c r="AC40" s="66"/>
      <c r="AD40" s="87">
        <v>3215</v>
      </c>
      <c r="AE40" s="87">
        <v>3115</v>
      </c>
      <c r="AF40" s="71">
        <f t="shared" si="252"/>
        <v>-100</v>
      </c>
      <c r="AG40" s="78"/>
      <c r="AH40" s="87">
        <v>3164</v>
      </c>
      <c r="AI40" s="71">
        <f t="shared" si="254"/>
        <v>-51</v>
      </c>
      <c r="AJ40" s="78"/>
      <c r="AK40" s="88">
        <v>12</v>
      </c>
      <c r="AL40" s="78"/>
      <c r="AM40" s="89">
        <v>13.5</v>
      </c>
      <c r="AN40" s="89">
        <v>12.7</v>
      </c>
      <c r="AO40" s="70">
        <f t="shared" si="256"/>
        <v>-0.80000000000000071</v>
      </c>
      <c r="AP40" s="78"/>
      <c r="AQ40" s="89">
        <v>13</v>
      </c>
      <c r="AR40" s="71">
        <f t="shared" si="258"/>
        <v>-0.5</v>
      </c>
      <c r="AS40" s="59"/>
      <c r="AT40" s="90">
        <v>1.0969100130080565</v>
      </c>
      <c r="AU40" s="73"/>
      <c r="AV40" s="91">
        <v>0</v>
      </c>
      <c r="AW40" s="91">
        <v>9.691001300805642E-2</v>
      </c>
      <c r="AX40" s="75">
        <f t="shared" si="260"/>
        <v>9.691001300805642E-2</v>
      </c>
      <c r="AY40" s="59"/>
      <c r="AZ40" s="91">
        <v>0</v>
      </c>
      <c r="BA40" s="75">
        <f t="shared" si="262"/>
        <v>0</v>
      </c>
      <c r="BB40" s="59"/>
      <c r="BC40" s="92">
        <v>-7.9181246047624804E-2</v>
      </c>
      <c r="BD40" s="92">
        <v>0</v>
      </c>
      <c r="BE40" s="71">
        <f t="shared" si="264"/>
        <v>7.9181246047624804E-2</v>
      </c>
      <c r="BF40" s="78"/>
      <c r="BG40" s="92">
        <v>4.5757490560675143E-2</v>
      </c>
      <c r="BH40" s="71">
        <f t="shared" si="266"/>
        <v>0.12493873660829995</v>
      </c>
      <c r="BI40" s="78"/>
      <c r="BJ40" s="93"/>
      <c r="BK40" s="94"/>
    </row>
    <row r="41" spans="1:63" ht="15" customHeight="1">
      <c r="A41" s="95">
        <v>19</v>
      </c>
      <c r="B41" s="82" t="s">
        <v>28</v>
      </c>
      <c r="C41" s="130">
        <v>11</v>
      </c>
      <c r="D41" s="97" t="s">
        <v>1</v>
      </c>
      <c r="E41" s="85">
        <v>-5</v>
      </c>
      <c r="F41" s="59">
        <f t="shared" si="0"/>
        <v>-4.375</v>
      </c>
      <c r="G41" s="273">
        <v>42513</v>
      </c>
      <c r="H41" s="86" t="s">
        <v>9</v>
      </c>
      <c r="I41" s="103">
        <v>25.18</v>
      </c>
      <c r="J41" s="56">
        <f t="shared" si="1"/>
        <v>24.965</v>
      </c>
      <c r="K41" s="104">
        <v>25.13</v>
      </c>
      <c r="L41" s="58">
        <f t="shared" ref="L41:L42" si="279">K41-I41</f>
        <v>-5.0000000000000711E-2</v>
      </c>
      <c r="M41" s="59">
        <f t="shared" ref="M41" si="280">AVERAGE(L41:L42)</f>
        <v>-3.5000000000000142E-2</v>
      </c>
      <c r="N41" s="104">
        <v>25.13</v>
      </c>
      <c r="O41" s="60">
        <f t="shared" ref="O41:O42" si="281">N41-K41</f>
        <v>0</v>
      </c>
      <c r="P41" s="56">
        <f t="shared" ref="P41" si="282">AVERAGE(O41:O42)</f>
        <v>2.9999999999999361E-2</v>
      </c>
      <c r="Q41" s="104">
        <v>25.16</v>
      </c>
      <c r="R41" s="61">
        <f t="shared" ref="R41:R42" si="283">Q41-K41</f>
        <v>3.0000000000001137E-2</v>
      </c>
      <c r="S41" s="59">
        <f t="shared" ref="S41" si="284">AVERAGE(R41:R42)</f>
        <v>5.0000000000000711E-2</v>
      </c>
      <c r="T41" s="104">
        <v>25.21</v>
      </c>
      <c r="U41" s="60">
        <f t="shared" si="247"/>
        <v>8.0000000000001847E-2</v>
      </c>
      <c r="V41" s="56">
        <f t="shared" ref="V41" si="285">AVERAGE(U41:U42)</f>
        <v>0.10000000000000142</v>
      </c>
      <c r="W41" s="104">
        <v>25.28</v>
      </c>
      <c r="X41" s="61">
        <f t="shared" si="248"/>
        <v>0.15000000000000213</v>
      </c>
      <c r="Y41" s="59">
        <f t="shared" ref="Y41" si="286">AVERAGE(X41:X42)</f>
        <v>0.15000000000000036</v>
      </c>
      <c r="Z41" s="61">
        <f t="shared" si="250"/>
        <v>0.12000000000000099</v>
      </c>
      <c r="AA41" s="59">
        <f t="shared" ref="AA41" si="287">AVERAGE(Z41:Z42)</f>
        <v>9.9999999999999645E-2</v>
      </c>
      <c r="AB41" s="71">
        <v>3787</v>
      </c>
      <c r="AC41" s="99">
        <f t="shared" si="163"/>
        <v>3685.5</v>
      </c>
      <c r="AD41" s="87">
        <v>3424</v>
      </c>
      <c r="AE41" s="87">
        <v>3649</v>
      </c>
      <c r="AF41" s="71">
        <f t="shared" si="252"/>
        <v>225</v>
      </c>
      <c r="AG41" s="78">
        <f t="shared" ref="AG41" si="288">AVERAGE(AF41:AF42)</f>
        <v>273</v>
      </c>
      <c r="AH41" s="87">
        <v>3623</v>
      </c>
      <c r="AI41" s="71">
        <f t="shared" si="254"/>
        <v>199</v>
      </c>
      <c r="AJ41" s="78">
        <f t="shared" ref="AJ41" si="289">AVERAGE(AI41:AI42)</f>
        <v>4</v>
      </c>
      <c r="AK41" s="88">
        <v>10.5</v>
      </c>
      <c r="AL41" s="78">
        <f t="shared" si="151"/>
        <v>10</v>
      </c>
      <c r="AM41" s="89">
        <v>11.5</v>
      </c>
      <c r="AN41" s="89">
        <v>8.3000000000000007</v>
      </c>
      <c r="AO41" s="70">
        <f t="shared" si="256"/>
        <v>-3.1999999999999993</v>
      </c>
      <c r="AP41" s="78">
        <f t="shared" ref="AP41" si="290">AVERAGE(AO41:AO42)</f>
        <v>-3.3499999999999996</v>
      </c>
      <c r="AQ41" s="89">
        <v>11</v>
      </c>
      <c r="AR41" s="71">
        <f t="shared" si="258"/>
        <v>-0.5</v>
      </c>
      <c r="AS41" s="59">
        <f t="shared" ref="AS41" si="291">AVERAGE(AR41:AR42)</f>
        <v>-0.5</v>
      </c>
      <c r="AT41" s="90">
        <v>1.3010299956639813</v>
      </c>
      <c r="AU41" s="73">
        <v>1.1989700043360187</v>
      </c>
      <c r="AV41" s="91">
        <v>-7.9181246047624804E-2</v>
      </c>
      <c r="AW41" s="91">
        <v>-7.9181246047624804E-2</v>
      </c>
      <c r="AX41" s="75">
        <f t="shared" si="260"/>
        <v>0</v>
      </c>
      <c r="AY41" s="59">
        <f t="shared" ref="AY41" si="292">AVERAGE(AX41:AX42)</f>
        <v>6.2469368304149973E-2</v>
      </c>
      <c r="AZ41" s="91">
        <v>0.15490195998574319</v>
      </c>
      <c r="BA41" s="75">
        <f t="shared" si="262"/>
        <v>0.23408320603336799</v>
      </c>
      <c r="BB41" s="98">
        <f t="shared" ref="BB41" si="293">AVERAGE(BA41:BA42)</f>
        <v>0.117041603016684</v>
      </c>
      <c r="BC41" s="92">
        <v>0</v>
      </c>
      <c r="BD41" s="92">
        <v>0</v>
      </c>
      <c r="BE41" s="71">
        <f t="shared" si="264"/>
        <v>0</v>
      </c>
      <c r="BF41" s="78">
        <f t="shared" ref="BF41" si="294">AVERAGE(BE41:BE42)</f>
        <v>0</v>
      </c>
      <c r="BG41" s="92">
        <v>0</v>
      </c>
      <c r="BH41" s="71">
        <f t="shared" si="266"/>
        <v>0</v>
      </c>
      <c r="BI41" s="78">
        <f t="shared" ref="BI41" si="295">AVERAGE(BH41:BH42)</f>
        <v>0</v>
      </c>
      <c r="BJ41" s="93">
        <v>100</v>
      </c>
      <c r="BK41" s="94">
        <v>100</v>
      </c>
    </row>
    <row r="42" spans="1:63" ht="15" customHeight="1">
      <c r="A42" s="81"/>
      <c r="B42" s="82"/>
      <c r="C42" s="132"/>
      <c r="D42" s="84"/>
      <c r="E42" s="85">
        <v>-3.75</v>
      </c>
      <c r="F42" s="59"/>
      <c r="G42" s="279"/>
      <c r="H42" s="86" t="s">
        <v>10</v>
      </c>
      <c r="I42" s="103">
        <v>24.75</v>
      </c>
      <c r="J42" s="94"/>
      <c r="K42" s="104">
        <v>24.73</v>
      </c>
      <c r="L42" s="58">
        <f t="shared" si="279"/>
        <v>-1.9999999999999574E-2</v>
      </c>
      <c r="M42" s="59"/>
      <c r="N42" s="104">
        <v>24.79</v>
      </c>
      <c r="O42" s="60">
        <f t="shared" si="281"/>
        <v>5.9999999999998721E-2</v>
      </c>
      <c r="P42" s="56"/>
      <c r="Q42" s="104">
        <v>24.8</v>
      </c>
      <c r="R42" s="61">
        <f t="shared" si="283"/>
        <v>7.0000000000000284E-2</v>
      </c>
      <c r="S42" s="59"/>
      <c r="T42" s="104">
        <v>24.85</v>
      </c>
      <c r="U42" s="60">
        <f t="shared" si="247"/>
        <v>0.12000000000000099</v>
      </c>
      <c r="V42" s="56"/>
      <c r="W42" s="104">
        <v>24.88</v>
      </c>
      <c r="X42" s="61">
        <f t="shared" si="248"/>
        <v>0.14999999999999858</v>
      </c>
      <c r="Y42" s="59"/>
      <c r="Z42" s="61">
        <f t="shared" si="250"/>
        <v>7.9999999999998295E-2</v>
      </c>
      <c r="AA42" s="59"/>
      <c r="AB42" s="71">
        <v>3584</v>
      </c>
      <c r="AC42" s="66"/>
      <c r="AD42" s="87">
        <v>3663</v>
      </c>
      <c r="AE42" s="87">
        <v>3984</v>
      </c>
      <c r="AF42" s="71">
        <f t="shared" si="252"/>
        <v>321</v>
      </c>
      <c r="AG42" s="78"/>
      <c r="AH42" s="87">
        <v>3472</v>
      </c>
      <c r="AI42" s="71">
        <f t="shared" si="254"/>
        <v>-191</v>
      </c>
      <c r="AJ42" s="78"/>
      <c r="AK42" s="88">
        <v>9.5</v>
      </c>
      <c r="AL42" s="78"/>
      <c r="AM42" s="89">
        <v>11.5</v>
      </c>
      <c r="AN42" s="89">
        <v>8</v>
      </c>
      <c r="AO42" s="70">
        <f t="shared" si="256"/>
        <v>-3.5</v>
      </c>
      <c r="AP42" s="78"/>
      <c r="AQ42" s="89">
        <v>11</v>
      </c>
      <c r="AR42" s="71">
        <f t="shared" si="258"/>
        <v>-0.5</v>
      </c>
      <c r="AS42" s="59"/>
      <c r="AT42" s="90">
        <v>1.0969100130080565</v>
      </c>
      <c r="AU42" s="73"/>
      <c r="AV42" s="91">
        <v>-7.9181246047624804E-2</v>
      </c>
      <c r="AW42" s="91">
        <v>4.5757490560675143E-2</v>
      </c>
      <c r="AX42" s="75">
        <f t="shared" si="260"/>
        <v>0.12493873660829995</v>
      </c>
      <c r="AY42" s="59"/>
      <c r="AZ42" s="91">
        <v>-7.9181246047624804E-2</v>
      </c>
      <c r="BA42" s="75">
        <f t="shared" si="262"/>
        <v>0</v>
      </c>
      <c r="BB42" s="100"/>
      <c r="BC42" s="92">
        <v>0</v>
      </c>
      <c r="BD42" s="92">
        <v>0</v>
      </c>
      <c r="BE42" s="71">
        <f t="shared" si="264"/>
        <v>0</v>
      </c>
      <c r="BF42" s="78"/>
      <c r="BG42" s="92">
        <v>0</v>
      </c>
      <c r="BH42" s="71">
        <f t="shared" si="266"/>
        <v>0</v>
      </c>
      <c r="BI42" s="78"/>
      <c r="BJ42" s="93"/>
      <c r="BK42" s="94"/>
    </row>
    <row r="43" spans="1:63" ht="15" customHeight="1">
      <c r="A43" s="95">
        <v>20</v>
      </c>
      <c r="B43" s="82" t="s">
        <v>29</v>
      </c>
      <c r="C43" s="105">
        <v>8.5561643835616437</v>
      </c>
      <c r="D43" s="106" t="s">
        <v>1</v>
      </c>
      <c r="E43" s="107">
        <v>-3.25</v>
      </c>
      <c r="F43" s="59">
        <f t="shared" si="0"/>
        <v>-3.4375</v>
      </c>
      <c r="G43" s="280">
        <v>41873</v>
      </c>
      <c r="H43" s="108" t="s">
        <v>9</v>
      </c>
      <c r="I43" s="134">
        <v>24.6</v>
      </c>
      <c r="J43" s="56">
        <f t="shared" si="1"/>
        <v>24.615000000000002</v>
      </c>
      <c r="K43" s="110">
        <v>24.74</v>
      </c>
      <c r="L43" s="58">
        <f t="shared" si="27"/>
        <v>0.13999999999999702</v>
      </c>
      <c r="M43" s="59">
        <f t="shared" ref="M43" si="296">AVERAGE(L43:L44)</f>
        <v>0.14499999999999957</v>
      </c>
      <c r="N43" s="110">
        <v>24.79</v>
      </c>
      <c r="O43" s="60">
        <f t="shared" si="28"/>
        <v>5.0000000000000711E-2</v>
      </c>
      <c r="P43" s="56">
        <f t="shared" ref="P43" si="297">AVERAGE(O43:O44)</f>
        <v>6.0000000000000497E-2</v>
      </c>
      <c r="Q43" s="110">
        <v>24.93</v>
      </c>
      <c r="R43" s="61">
        <f t="shared" si="29"/>
        <v>0.19000000000000128</v>
      </c>
      <c r="S43" s="59">
        <f t="shared" ref="S43" si="298">AVERAGE(R43:R44)</f>
        <v>0.16000000000000014</v>
      </c>
      <c r="T43" s="110">
        <v>25.08</v>
      </c>
      <c r="U43" s="60">
        <f t="shared" si="247"/>
        <v>0.33999999999999986</v>
      </c>
      <c r="V43" s="56">
        <f t="shared" si="6"/>
        <v>0.30499999999999972</v>
      </c>
      <c r="W43" s="110">
        <v>25.25</v>
      </c>
      <c r="X43" s="61">
        <f t="shared" si="248"/>
        <v>0.51000000000000156</v>
      </c>
      <c r="Y43" s="59">
        <f t="shared" ref="Y43" si="299">AVERAGE(X43:X44)</f>
        <v>0.45500000000000007</v>
      </c>
      <c r="Z43" s="61">
        <f t="shared" si="250"/>
        <v>0.32000000000000028</v>
      </c>
      <c r="AA43" s="59">
        <f t="shared" ref="AA43" si="300">AVERAGE(Z43:Z44)</f>
        <v>0.29499999999999993</v>
      </c>
      <c r="AB43" s="111">
        <v>3067</v>
      </c>
      <c r="AC43" s="99">
        <f t="shared" si="163"/>
        <v>3072</v>
      </c>
      <c r="AD43" s="112">
        <v>2967</v>
      </c>
      <c r="AE43" s="112">
        <v>2865</v>
      </c>
      <c r="AF43" s="71">
        <f t="shared" si="252"/>
        <v>-102</v>
      </c>
      <c r="AG43" s="78">
        <f t="shared" ref="AG43" si="301">AVERAGE(AF43:AF44)</f>
        <v>-121.5</v>
      </c>
      <c r="AH43" s="112">
        <v>2970</v>
      </c>
      <c r="AI43" s="71">
        <f t="shared" si="254"/>
        <v>3</v>
      </c>
      <c r="AJ43" s="78">
        <f t="shared" ref="AJ43" si="302">AVERAGE(AI43:AI44)</f>
        <v>-94.5</v>
      </c>
      <c r="AK43" s="113">
        <v>12</v>
      </c>
      <c r="AL43" s="78">
        <f t="shared" si="151"/>
        <v>11.5</v>
      </c>
      <c r="AM43" s="114">
        <v>13</v>
      </c>
      <c r="AN43" s="114">
        <v>12</v>
      </c>
      <c r="AO43" s="70">
        <f t="shared" si="256"/>
        <v>-1</v>
      </c>
      <c r="AP43" s="78">
        <f t="shared" ref="AP43" si="303">AVERAGE(AO43:AO44)</f>
        <v>-2</v>
      </c>
      <c r="AQ43" s="114">
        <v>13</v>
      </c>
      <c r="AR43" s="71">
        <f t="shared" si="258"/>
        <v>0</v>
      </c>
      <c r="AS43" s="59">
        <f t="shared" ref="AS43" si="304">AVERAGE(AR43:AR44)</f>
        <v>-1</v>
      </c>
      <c r="AT43" s="90">
        <v>1</v>
      </c>
      <c r="AU43" s="73">
        <v>1</v>
      </c>
      <c r="AV43" s="91">
        <v>-7.9181246047624804E-2</v>
      </c>
      <c r="AW43" s="91">
        <v>-7.9181246047624804E-2</v>
      </c>
      <c r="AX43" s="75">
        <f t="shared" si="260"/>
        <v>0</v>
      </c>
      <c r="AY43" s="59">
        <f t="shared" ref="AY43" si="305">AVERAGE(AX43:AX44)</f>
        <v>-3.9590623023812402E-2</v>
      </c>
      <c r="AZ43" s="91">
        <v>0.52287874528033762</v>
      </c>
      <c r="BA43" s="75">
        <f t="shared" si="262"/>
        <v>0.6020599913279624</v>
      </c>
      <c r="BB43" s="59">
        <f t="shared" ref="BB43" si="306">AVERAGE(BA43:BA44)</f>
        <v>0.41195437047215938</v>
      </c>
      <c r="BC43" s="92">
        <v>0.15490195998574319</v>
      </c>
      <c r="BD43" s="92">
        <v>-7.9181246047624804E-2</v>
      </c>
      <c r="BE43" s="71">
        <f t="shared" si="264"/>
        <v>-0.23408320603336799</v>
      </c>
      <c r="BF43" s="78">
        <f t="shared" ref="BF43" si="307">AVERAGE(BE43:BE44)</f>
        <v>-0.23408320603336799</v>
      </c>
      <c r="BG43" s="92">
        <v>0.22184874961635639</v>
      </c>
      <c r="BH43" s="71">
        <f t="shared" si="266"/>
        <v>6.6946789630613207E-2</v>
      </c>
      <c r="BI43" s="78">
        <f t="shared" ref="BI43" si="308">AVERAGE(BH43:BH44)</f>
        <v>6.6946789630613207E-2</v>
      </c>
      <c r="BJ43" s="93">
        <v>100</v>
      </c>
      <c r="BK43" s="94">
        <v>100</v>
      </c>
    </row>
    <row r="44" spans="1:63" ht="15" customHeight="1">
      <c r="A44" s="81"/>
      <c r="B44" s="82"/>
      <c r="C44" s="115"/>
      <c r="D44" s="84"/>
      <c r="E44" s="107">
        <v>-3.625</v>
      </c>
      <c r="F44" s="59"/>
      <c r="G44" s="276"/>
      <c r="H44" s="135" t="s">
        <v>10</v>
      </c>
      <c r="I44" s="136">
        <v>24.63</v>
      </c>
      <c r="J44" s="56"/>
      <c r="K44" s="118">
        <v>24.78</v>
      </c>
      <c r="L44" s="58">
        <f t="shared" si="27"/>
        <v>0.15000000000000213</v>
      </c>
      <c r="M44" s="59"/>
      <c r="N44" s="118">
        <v>24.85</v>
      </c>
      <c r="O44" s="60">
        <f t="shared" si="28"/>
        <v>7.0000000000000284E-2</v>
      </c>
      <c r="P44" s="56"/>
      <c r="Q44" s="118">
        <v>24.91</v>
      </c>
      <c r="R44" s="61">
        <f t="shared" si="29"/>
        <v>0.12999999999999901</v>
      </c>
      <c r="S44" s="59"/>
      <c r="T44" s="118">
        <v>25.05</v>
      </c>
      <c r="U44" s="60">
        <f t="shared" si="247"/>
        <v>0.26999999999999957</v>
      </c>
      <c r="V44" s="56"/>
      <c r="W44" s="118">
        <v>25.18</v>
      </c>
      <c r="X44" s="61">
        <f t="shared" si="248"/>
        <v>0.39999999999999858</v>
      </c>
      <c r="Y44" s="59"/>
      <c r="Z44" s="61">
        <f t="shared" si="250"/>
        <v>0.26999999999999957</v>
      </c>
      <c r="AA44" s="59"/>
      <c r="AB44" s="111">
        <v>3077</v>
      </c>
      <c r="AC44" s="66"/>
      <c r="AD44" s="112">
        <v>3135</v>
      </c>
      <c r="AE44" s="112">
        <v>2994</v>
      </c>
      <c r="AF44" s="71">
        <f t="shared" si="252"/>
        <v>-141</v>
      </c>
      <c r="AG44" s="78"/>
      <c r="AH44" s="112">
        <v>2943</v>
      </c>
      <c r="AI44" s="71">
        <f t="shared" si="254"/>
        <v>-192</v>
      </c>
      <c r="AJ44" s="78"/>
      <c r="AK44" s="113">
        <v>11</v>
      </c>
      <c r="AL44" s="78"/>
      <c r="AM44" s="114">
        <v>14</v>
      </c>
      <c r="AN44" s="114">
        <v>11</v>
      </c>
      <c r="AO44" s="70">
        <f t="shared" si="256"/>
        <v>-3</v>
      </c>
      <c r="AP44" s="78"/>
      <c r="AQ44" s="114">
        <v>12</v>
      </c>
      <c r="AR44" s="71">
        <f t="shared" si="258"/>
        <v>-2</v>
      </c>
      <c r="AS44" s="59"/>
      <c r="AT44" s="90">
        <v>1</v>
      </c>
      <c r="AU44" s="73"/>
      <c r="AV44" s="91">
        <v>0</v>
      </c>
      <c r="AW44" s="91">
        <v>-7.9181246047624804E-2</v>
      </c>
      <c r="AX44" s="75">
        <f t="shared" si="260"/>
        <v>-7.9181246047624804E-2</v>
      </c>
      <c r="AY44" s="59"/>
      <c r="AZ44" s="91">
        <v>0.22184874961635639</v>
      </c>
      <c r="BA44" s="75">
        <f t="shared" si="262"/>
        <v>0.22184874961635639</v>
      </c>
      <c r="BB44" s="59"/>
      <c r="BC44" s="92">
        <v>0.15490195998574319</v>
      </c>
      <c r="BD44" s="92">
        <v>-7.9181246047624804E-2</v>
      </c>
      <c r="BE44" s="71">
        <f t="shared" si="264"/>
        <v>-0.23408320603336799</v>
      </c>
      <c r="BF44" s="78"/>
      <c r="BG44" s="92">
        <v>0.22184874961635639</v>
      </c>
      <c r="BH44" s="71">
        <f t="shared" si="266"/>
        <v>6.6946789630613207E-2</v>
      </c>
      <c r="BI44" s="78"/>
      <c r="BJ44" s="93"/>
      <c r="BK44" s="94"/>
    </row>
    <row r="45" spans="1:63" ht="15" customHeight="1">
      <c r="A45" s="95">
        <v>21</v>
      </c>
      <c r="B45" s="82" t="s">
        <v>29</v>
      </c>
      <c r="C45" s="105">
        <v>8.6164383561643838</v>
      </c>
      <c r="D45" s="97" t="s">
        <v>0</v>
      </c>
      <c r="E45" s="107">
        <v>-1.5</v>
      </c>
      <c r="F45" s="59">
        <f t="shared" si="0"/>
        <v>-1.875</v>
      </c>
      <c r="G45" s="281">
        <v>42259</v>
      </c>
      <c r="H45" s="108" t="s">
        <v>9</v>
      </c>
      <c r="I45" s="136">
        <v>25.18</v>
      </c>
      <c r="J45" s="56">
        <f t="shared" si="1"/>
        <v>25.265000000000001</v>
      </c>
      <c r="K45" s="118">
        <v>25.43</v>
      </c>
      <c r="L45" s="58">
        <f t="shared" ref="L45:L46" si="309">K45-I45</f>
        <v>0.25</v>
      </c>
      <c r="M45" s="59">
        <f t="shared" ref="M45" si="310">AVERAGE(L45:L46)</f>
        <v>0.20500000000000007</v>
      </c>
      <c r="N45" s="118">
        <v>25.71</v>
      </c>
      <c r="O45" s="60">
        <f t="shared" ref="O45:O46" si="311">N45-K45</f>
        <v>0.28000000000000114</v>
      </c>
      <c r="P45" s="56">
        <f t="shared" ref="P45" si="312">AVERAGE(O45:O46)</f>
        <v>0.3100000000000005</v>
      </c>
      <c r="Q45" s="118">
        <v>25.92</v>
      </c>
      <c r="R45" s="61">
        <f t="shared" ref="R45:R46" si="313">Q45-K45</f>
        <v>0.49000000000000199</v>
      </c>
      <c r="S45" s="59">
        <f t="shared" ref="S45" si="314">AVERAGE(R45:R46)</f>
        <v>0.52500000000000036</v>
      </c>
      <c r="T45" s="118">
        <v>26.16</v>
      </c>
      <c r="U45" s="60">
        <f t="shared" si="247"/>
        <v>0.73000000000000043</v>
      </c>
      <c r="V45" s="56">
        <f t="shared" ref="V45" si="315">AVERAGE(U45:U46)</f>
        <v>0.78999999999999915</v>
      </c>
      <c r="W45" s="118">
        <v>26.29</v>
      </c>
      <c r="X45" s="61">
        <f t="shared" si="248"/>
        <v>0.85999999999999943</v>
      </c>
      <c r="Y45" s="59">
        <f t="shared" ref="Y45" si="316">AVERAGE(X45:X46)</f>
        <v>0.94999999999999929</v>
      </c>
      <c r="Z45" s="61">
        <f t="shared" si="250"/>
        <v>0.36999999999999744</v>
      </c>
      <c r="AA45" s="59">
        <f t="shared" ref="AA45" si="317">AVERAGE(Z45:Z46)</f>
        <v>0.42499999999999893</v>
      </c>
      <c r="AB45" s="137">
        <v>3175</v>
      </c>
      <c r="AC45" s="99">
        <f t="shared" si="163"/>
        <v>3237.5</v>
      </c>
      <c r="AD45" s="112">
        <v>3020</v>
      </c>
      <c r="AE45" s="112">
        <v>3032</v>
      </c>
      <c r="AF45" s="71">
        <f t="shared" si="252"/>
        <v>12</v>
      </c>
      <c r="AG45" s="78">
        <f t="shared" ref="AG45" si="318">AVERAGE(AF45:AF46)</f>
        <v>-39</v>
      </c>
      <c r="AH45" s="112">
        <v>2918</v>
      </c>
      <c r="AI45" s="71">
        <f t="shared" si="254"/>
        <v>-102</v>
      </c>
      <c r="AJ45" s="78">
        <f t="shared" ref="AJ45" si="319">AVERAGE(AI45:AI46)</f>
        <v>-169</v>
      </c>
      <c r="AK45" s="113">
        <v>14</v>
      </c>
      <c r="AL45" s="78">
        <f t="shared" si="151"/>
        <v>13.5</v>
      </c>
      <c r="AM45" s="114">
        <v>15</v>
      </c>
      <c r="AN45" s="114">
        <v>14</v>
      </c>
      <c r="AO45" s="70">
        <f t="shared" si="256"/>
        <v>-1</v>
      </c>
      <c r="AP45" s="78">
        <f t="shared" ref="AP45" si="320">AVERAGE(AO45:AO46)</f>
        <v>0</v>
      </c>
      <c r="AQ45" s="114">
        <v>13</v>
      </c>
      <c r="AR45" s="71">
        <f t="shared" si="258"/>
        <v>-2</v>
      </c>
      <c r="AS45" s="59">
        <f t="shared" ref="AS45" si="321">AVERAGE(AR45:AR46)</f>
        <v>-0.5</v>
      </c>
      <c r="AT45" s="90">
        <v>0.52287874528033762</v>
      </c>
      <c r="AU45" s="73">
        <v>0.67339374311232825</v>
      </c>
      <c r="AV45" s="91">
        <v>0</v>
      </c>
      <c r="AW45" s="91">
        <v>-7.9181246047624804E-2</v>
      </c>
      <c r="AX45" s="75">
        <f t="shared" si="260"/>
        <v>-7.9181246047624804E-2</v>
      </c>
      <c r="AY45" s="59">
        <f t="shared" ref="AY45" si="322">AVERAGE(AX45:AX46)</f>
        <v>-3.9590623023812402E-2</v>
      </c>
      <c r="AZ45" s="91">
        <v>9.691001300805642E-2</v>
      </c>
      <c r="BA45" s="75">
        <f t="shared" si="262"/>
        <v>9.691001300805642E-2</v>
      </c>
      <c r="BB45" s="59">
        <f t="shared" ref="BB45" si="323">AVERAGE(BA45:BA46)</f>
        <v>0.13650063603186882</v>
      </c>
      <c r="BC45" s="92">
        <v>-7.9181246047624804E-2</v>
      </c>
      <c r="BD45" s="92">
        <v>-7.9181246047624804E-2</v>
      </c>
      <c r="BE45" s="71">
        <f t="shared" si="264"/>
        <v>0</v>
      </c>
      <c r="BF45" s="78">
        <f t="shared" ref="BF45" si="324">AVERAGE(BE45:BE46)</f>
        <v>0</v>
      </c>
      <c r="BG45" s="92">
        <v>0</v>
      </c>
      <c r="BH45" s="71">
        <f t="shared" si="266"/>
        <v>7.9181246047624804E-2</v>
      </c>
      <c r="BI45" s="78">
        <f t="shared" ref="BI45" si="325">AVERAGE(BH45:BH46)</f>
        <v>7.9181246047624804E-2</v>
      </c>
      <c r="BJ45" s="93">
        <v>100</v>
      </c>
      <c r="BK45" s="94">
        <v>100</v>
      </c>
    </row>
    <row r="46" spans="1:63" ht="15" customHeight="1">
      <c r="A46" s="81"/>
      <c r="B46" s="82"/>
      <c r="C46" s="115"/>
      <c r="D46" s="84"/>
      <c r="E46" s="107">
        <v>-2.25</v>
      </c>
      <c r="F46" s="59"/>
      <c r="G46" s="282"/>
      <c r="H46" s="135" t="s">
        <v>10</v>
      </c>
      <c r="I46" s="136">
        <v>25.35</v>
      </c>
      <c r="J46" s="56"/>
      <c r="K46" s="118">
        <v>25.51</v>
      </c>
      <c r="L46" s="58">
        <f t="shared" si="309"/>
        <v>0.16000000000000014</v>
      </c>
      <c r="M46" s="59"/>
      <c r="N46" s="118">
        <v>25.85</v>
      </c>
      <c r="O46" s="60">
        <f t="shared" si="311"/>
        <v>0.33999999999999986</v>
      </c>
      <c r="P46" s="56"/>
      <c r="Q46" s="118">
        <v>26.07</v>
      </c>
      <c r="R46" s="61">
        <f t="shared" si="313"/>
        <v>0.55999999999999872</v>
      </c>
      <c r="S46" s="59"/>
      <c r="T46" s="118">
        <v>26.36</v>
      </c>
      <c r="U46" s="60">
        <f t="shared" si="247"/>
        <v>0.84999999999999787</v>
      </c>
      <c r="V46" s="56"/>
      <c r="W46" s="118">
        <v>26.55</v>
      </c>
      <c r="X46" s="61">
        <f t="shared" si="248"/>
        <v>1.0399999999999991</v>
      </c>
      <c r="Y46" s="59"/>
      <c r="Z46" s="61">
        <f t="shared" si="250"/>
        <v>0.48000000000000043</v>
      </c>
      <c r="AA46" s="59"/>
      <c r="AB46" s="137">
        <v>3300</v>
      </c>
      <c r="AC46" s="66"/>
      <c r="AD46" s="112">
        <v>2987</v>
      </c>
      <c r="AE46" s="112">
        <v>2897</v>
      </c>
      <c r="AF46" s="71">
        <f t="shared" si="252"/>
        <v>-90</v>
      </c>
      <c r="AG46" s="78"/>
      <c r="AH46" s="112">
        <v>2751</v>
      </c>
      <c r="AI46" s="71">
        <f t="shared" si="254"/>
        <v>-236</v>
      </c>
      <c r="AJ46" s="78"/>
      <c r="AK46" s="113">
        <v>13</v>
      </c>
      <c r="AL46" s="78"/>
      <c r="AM46" s="114">
        <v>12</v>
      </c>
      <c r="AN46" s="114">
        <v>13</v>
      </c>
      <c r="AO46" s="70">
        <f t="shared" si="256"/>
        <v>1</v>
      </c>
      <c r="AP46" s="78"/>
      <c r="AQ46" s="114">
        <v>13</v>
      </c>
      <c r="AR46" s="71">
        <f t="shared" si="258"/>
        <v>1</v>
      </c>
      <c r="AS46" s="59"/>
      <c r="AT46" s="90">
        <v>0.82390874094431876</v>
      </c>
      <c r="AU46" s="73"/>
      <c r="AV46" s="91">
        <v>-7.9181246047624804E-2</v>
      </c>
      <c r="AW46" s="91">
        <v>-7.9181246047624804E-2</v>
      </c>
      <c r="AX46" s="75">
        <f t="shared" si="260"/>
        <v>0</v>
      </c>
      <c r="AY46" s="59"/>
      <c r="AZ46" s="91">
        <v>9.691001300805642E-2</v>
      </c>
      <c r="BA46" s="75">
        <f t="shared" si="262"/>
        <v>0.17609125905568124</v>
      </c>
      <c r="BB46" s="59"/>
      <c r="BC46" s="92">
        <v>-7.9181246047624804E-2</v>
      </c>
      <c r="BD46" s="92">
        <v>-7.9181246047624804E-2</v>
      </c>
      <c r="BE46" s="71">
        <f t="shared" si="264"/>
        <v>0</v>
      </c>
      <c r="BF46" s="78"/>
      <c r="BG46" s="92">
        <v>0</v>
      </c>
      <c r="BH46" s="71">
        <f t="shared" si="266"/>
        <v>7.9181246047624804E-2</v>
      </c>
      <c r="BI46" s="78"/>
      <c r="BJ46" s="93"/>
      <c r="BK46" s="94"/>
    </row>
    <row r="47" spans="1:63" ht="15" customHeight="1">
      <c r="A47" s="95">
        <v>22</v>
      </c>
      <c r="B47" s="82" t="s">
        <v>29</v>
      </c>
      <c r="C47" s="138">
        <v>8.6219178082191785</v>
      </c>
      <c r="D47" s="97" t="s">
        <v>1</v>
      </c>
      <c r="E47" s="107">
        <v>-1.75</v>
      </c>
      <c r="F47" s="59">
        <f t="shared" si="0"/>
        <v>-1.75</v>
      </c>
      <c r="G47" s="275">
        <v>42266</v>
      </c>
      <c r="H47" s="135" t="s">
        <v>9</v>
      </c>
      <c r="I47" s="136">
        <v>24.1</v>
      </c>
      <c r="J47" s="56">
        <f t="shared" ref="J47" si="326">AVERAGE(I47:I48)</f>
        <v>24.130000000000003</v>
      </c>
      <c r="K47" s="118">
        <v>24.16</v>
      </c>
      <c r="L47" s="58">
        <f t="shared" ref="L47:L48" si="327">K47-I47</f>
        <v>5.9999999999998721E-2</v>
      </c>
      <c r="M47" s="59">
        <f t="shared" ref="M47" si="328">AVERAGE(L47:L48)</f>
        <v>9.9999999999997868E-3</v>
      </c>
      <c r="N47" s="118">
        <v>24.3</v>
      </c>
      <c r="O47" s="60">
        <f t="shared" ref="O47:O48" si="329">N47-K47</f>
        <v>0.14000000000000057</v>
      </c>
      <c r="P47" s="56">
        <f t="shared" ref="P47" si="330">AVERAGE(O47:O48)</f>
        <v>0.21499999999999986</v>
      </c>
      <c r="Q47" s="118">
        <v>24.45</v>
      </c>
      <c r="R47" s="61">
        <f t="shared" ref="R47:R48" si="331">Q47-K47</f>
        <v>0.28999999999999915</v>
      </c>
      <c r="S47" s="59">
        <f t="shared" ref="S47" si="332">AVERAGE(R47:R48)</f>
        <v>0.33999999999999986</v>
      </c>
      <c r="T47" s="118">
        <v>24.51</v>
      </c>
      <c r="U47" s="60">
        <f t="shared" si="247"/>
        <v>0.35000000000000142</v>
      </c>
      <c r="V47" s="56">
        <f t="shared" ref="V47" si="333">AVERAGE(U47:U48)</f>
        <v>0.42999999999999972</v>
      </c>
      <c r="W47" s="118">
        <v>24.59</v>
      </c>
      <c r="X47" s="61">
        <f t="shared" si="248"/>
        <v>0.42999999999999972</v>
      </c>
      <c r="Y47" s="59">
        <f t="shared" ref="Y47" si="334">AVERAGE(X47:X48)</f>
        <v>0.47999999999999865</v>
      </c>
      <c r="Z47" s="61">
        <f t="shared" si="250"/>
        <v>0.14000000000000057</v>
      </c>
      <c r="AA47" s="59">
        <f t="shared" ref="AA47" si="335">AVERAGE(Z47:Z48)</f>
        <v>0.13999999999999879</v>
      </c>
      <c r="AB47" s="137">
        <v>3021</v>
      </c>
      <c r="AC47" s="99">
        <f t="shared" si="163"/>
        <v>3063.5</v>
      </c>
      <c r="AD47" s="112">
        <v>3110</v>
      </c>
      <c r="AE47" s="112">
        <v>3015</v>
      </c>
      <c r="AF47" s="71">
        <f t="shared" si="252"/>
        <v>-95</v>
      </c>
      <c r="AG47" s="78">
        <f t="shared" ref="AG47" si="336">AVERAGE(AF47:AF48)</f>
        <v>-211.5</v>
      </c>
      <c r="AH47" s="112">
        <v>2965</v>
      </c>
      <c r="AI47" s="71">
        <f t="shared" si="254"/>
        <v>-145</v>
      </c>
      <c r="AJ47" s="78">
        <f t="shared" ref="AJ47" si="337">AVERAGE(AI47:AI48)</f>
        <v>-163</v>
      </c>
      <c r="AK47" s="113">
        <v>13</v>
      </c>
      <c r="AL47" s="78">
        <f t="shared" si="151"/>
        <v>12</v>
      </c>
      <c r="AM47" s="114">
        <v>13</v>
      </c>
      <c r="AN47" s="114">
        <v>13</v>
      </c>
      <c r="AO47" s="70">
        <f t="shared" si="256"/>
        <v>0</v>
      </c>
      <c r="AP47" s="78">
        <f t="shared" ref="AP47" si="338">AVERAGE(AO47:AO48)</f>
        <v>0.5</v>
      </c>
      <c r="AQ47" s="114">
        <v>14</v>
      </c>
      <c r="AR47" s="71">
        <f t="shared" si="258"/>
        <v>1</v>
      </c>
      <c r="AS47" s="59">
        <f t="shared" ref="AS47" si="339">AVERAGE(AR47:AR48)</f>
        <v>0</v>
      </c>
      <c r="AT47" s="90">
        <v>0.69897000433601886</v>
      </c>
      <c r="AU47" s="73">
        <v>0.69897000433601886</v>
      </c>
      <c r="AV47" s="91">
        <v>0.15490195998574319</v>
      </c>
      <c r="AW47" s="91">
        <v>0</v>
      </c>
      <c r="AX47" s="75">
        <f t="shared" si="260"/>
        <v>-0.15490195998574319</v>
      </c>
      <c r="AY47" s="59">
        <f t="shared" ref="AY47" si="340">AVERAGE(AX47:AX48)</f>
        <v>7.3064017839119005E-2</v>
      </c>
      <c r="AZ47" s="91">
        <v>-7.9181246047624804E-2</v>
      </c>
      <c r="BA47" s="75">
        <f t="shared" si="262"/>
        <v>-0.23408320603336799</v>
      </c>
      <c r="BB47" s="59">
        <f t="shared" ref="BB47" si="341">AVERAGE(BA47:BA48)</f>
        <v>-0.117041603016684</v>
      </c>
      <c r="BC47" s="92">
        <v>4.5757490560675143E-2</v>
      </c>
      <c r="BD47" s="92">
        <v>-7.9181246047624804E-2</v>
      </c>
      <c r="BE47" s="71">
        <f t="shared" si="264"/>
        <v>-0.12493873660829995</v>
      </c>
      <c r="BF47" s="78">
        <f t="shared" ref="BF47" si="342">AVERAGE(BE47:BE48)</f>
        <v>-6.2469368304149973E-2</v>
      </c>
      <c r="BG47" s="92">
        <v>-7.9181246047624804E-2</v>
      </c>
      <c r="BH47" s="71">
        <f t="shared" si="266"/>
        <v>-0.12493873660829995</v>
      </c>
      <c r="BI47" s="78">
        <f t="shared" ref="BI47" si="343">AVERAGE(BH47:BH48)</f>
        <v>-0.10205999132796237</v>
      </c>
      <c r="BJ47" s="93">
        <v>78</v>
      </c>
      <c r="BK47" s="94">
        <v>70</v>
      </c>
    </row>
    <row r="48" spans="1:63" ht="15" customHeight="1">
      <c r="A48" s="81"/>
      <c r="B48" s="82"/>
      <c r="C48" s="115"/>
      <c r="D48" s="84"/>
      <c r="E48" s="107">
        <v>-1.75</v>
      </c>
      <c r="F48" s="59"/>
      <c r="G48" s="276"/>
      <c r="H48" s="118" t="s">
        <v>10</v>
      </c>
      <c r="I48" s="136">
        <v>24.16</v>
      </c>
      <c r="J48" s="56"/>
      <c r="K48" s="118">
        <v>24.12</v>
      </c>
      <c r="L48" s="58">
        <f t="shared" si="327"/>
        <v>-3.9999999999999147E-2</v>
      </c>
      <c r="M48" s="59"/>
      <c r="N48" s="118">
        <v>24.41</v>
      </c>
      <c r="O48" s="60">
        <f t="shared" si="329"/>
        <v>0.28999999999999915</v>
      </c>
      <c r="P48" s="56"/>
      <c r="Q48" s="118">
        <v>24.51</v>
      </c>
      <c r="R48" s="61">
        <f t="shared" si="331"/>
        <v>0.39000000000000057</v>
      </c>
      <c r="S48" s="59"/>
      <c r="T48" s="118">
        <v>24.63</v>
      </c>
      <c r="U48" s="60">
        <f t="shared" si="247"/>
        <v>0.50999999999999801</v>
      </c>
      <c r="V48" s="56"/>
      <c r="W48" s="118">
        <v>24.65</v>
      </c>
      <c r="X48" s="61">
        <f t="shared" si="248"/>
        <v>0.52999999999999758</v>
      </c>
      <c r="Y48" s="59"/>
      <c r="Z48" s="61">
        <f t="shared" si="250"/>
        <v>0.13999999999999702</v>
      </c>
      <c r="AA48" s="59"/>
      <c r="AB48" s="137">
        <v>3106</v>
      </c>
      <c r="AC48" s="66"/>
      <c r="AD48" s="112">
        <v>3209</v>
      </c>
      <c r="AE48" s="112">
        <v>2881</v>
      </c>
      <c r="AF48" s="71">
        <f t="shared" si="252"/>
        <v>-328</v>
      </c>
      <c r="AG48" s="78"/>
      <c r="AH48" s="112">
        <v>3028</v>
      </c>
      <c r="AI48" s="71">
        <f t="shared" si="254"/>
        <v>-181</v>
      </c>
      <c r="AJ48" s="78"/>
      <c r="AK48" s="113">
        <v>11</v>
      </c>
      <c r="AL48" s="78"/>
      <c r="AM48" s="114">
        <v>12</v>
      </c>
      <c r="AN48" s="114">
        <v>13</v>
      </c>
      <c r="AO48" s="70">
        <f t="shared" si="256"/>
        <v>1</v>
      </c>
      <c r="AP48" s="78"/>
      <c r="AQ48" s="114">
        <v>11</v>
      </c>
      <c r="AR48" s="71">
        <f t="shared" si="258"/>
        <v>-1</v>
      </c>
      <c r="AS48" s="59"/>
      <c r="AT48" s="90">
        <v>0.69897000433601886</v>
      </c>
      <c r="AU48" s="73"/>
      <c r="AV48" s="91">
        <v>-7.9181246047624804E-2</v>
      </c>
      <c r="AW48" s="91">
        <v>0.22184874961635639</v>
      </c>
      <c r="AX48" s="75">
        <f t="shared" si="260"/>
        <v>0.3010299956639812</v>
      </c>
      <c r="AY48" s="59"/>
      <c r="AZ48" s="91">
        <v>-7.9181246047624804E-2</v>
      </c>
      <c r="BA48" s="75">
        <f t="shared" si="262"/>
        <v>0</v>
      </c>
      <c r="BB48" s="59"/>
      <c r="BC48" s="92">
        <v>0</v>
      </c>
      <c r="BD48" s="92">
        <v>0</v>
      </c>
      <c r="BE48" s="71">
        <f t="shared" si="264"/>
        <v>0</v>
      </c>
      <c r="BF48" s="78"/>
      <c r="BG48" s="92">
        <v>-7.9181246047624804E-2</v>
      </c>
      <c r="BH48" s="71">
        <f t="shared" si="266"/>
        <v>-7.9181246047624804E-2</v>
      </c>
      <c r="BI48" s="78"/>
      <c r="BJ48" s="93"/>
      <c r="BK48" s="94"/>
    </row>
    <row r="49" spans="1:63" ht="15" customHeight="1">
      <c r="A49" s="95">
        <v>23</v>
      </c>
      <c r="B49" s="82" t="s">
        <v>29</v>
      </c>
      <c r="C49" s="138">
        <v>8</v>
      </c>
      <c r="D49" s="97" t="s">
        <v>1</v>
      </c>
      <c r="E49" s="107">
        <v>-2.25</v>
      </c>
      <c r="F49" s="59">
        <f t="shared" si="0"/>
        <v>-2.375</v>
      </c>
      <c r="G49" s="275">
        <v>42335</v>
      </c>
      <c r="H49" s="135" t="s">
        <v>9</v>
      </c>
      <c r="I49" s="136">
        <v>24.93</v>
      </c>
      <c r="J49" s="56">
        <f t="shared" ref="J49:J51" si="344">AVERAGE(I49:I50)</f>
        <v>24.914999999999999</v>
      </c>
      <c r="K49" s="118">
        <v>25</v>
      </c>
      <c r="L49" s="58">
        <f t="shared" ref="L49:L50" si="345">K49-I49</f>
        <v>7.0000000000000284E-2</v>
      </c>
      <c r="M49" s="59">
        <f t="shared" ref="M49" si="346">AVERAGE(L49:L50)</f>
        <v>5.5000000000001492E-2</v>
      </c>
      <c r="N49" s="118">
        <v>25.09</v>
      </c>
      <c r="O49" s="60">
        <f t="shared" ref="O49:O50" si="347">N49-K49</f>
        <v>8.9999999999999858E-2</v>
      </c>
      <c r="P49" s="56">
        <f t="shared" ref="P49" si="348">AVERAGE(O49:O50)</f>
        <v>3.9999999999999147E-2</v>
      </c>
      <c r="Q49" s="118">
        <v>25.23</v>
      </c>
      <c r="R49" s="61">
        <f t="shared" ref="R49:R50" si="349">Q49-K49</f>
        <v>0.23000000000000043</v>
      </c>
      <c r="S49" s="59">
        <f t="shared" ref="S49" si="350">AVERAGE(R49:R50)</f>
        <v>0.19500000000000028</v>
      </c>
      <c r="T49" s="118">
        <v>25.36</v>
      </c>
      <c r="U49" s="60">
        <f t="shared" si="247"/>
        <v>0.35999999999999943</v>
      </c>
      <c r="V49" s="56">
        <f t="shared" ref="V49" si="351">AVERAGE(U49:U50)</f>
        <v>0.35499999999999865</v>
      </c>
      <c r="W49" s="118">
        <v>25.43</v>
      </c>
      <c r="X49" s="61">
        <f t="shared" si="248"/>
        <v>0.42999999999999972</v>
      </c>
      <c r="Y49" s="59">
        <f t="shared" ref="Y49" si="352">AVERAGE(X49:X50)</f>
        <v>0.41499999999999915</v>
      </c>
      <c r="Z49" s="61">
        <f t="shared" si="250"/>
        <v>0.19999999999999929</v>
      </c>
      <c r="AA49" s="59">
        <f t="shared" ref="AA49" si="353">AVERAGE(Z49:Z50)</f>
        <v>0.21999999999999886</v>
      </c>
      <c r="AB49" s="137">
        <v>3293</v>
      </c>
      <c r="AC49" s="99">
        <f t="shared" si="163"/>
        <v>3279.5</v>
      </c>
      <c r="AD49" s="112">
        <v>3158</v>
      </c>
      <c r="AE49" s="112">
        <v>3147</v>
      </c>
      <c r="AF49" s="71">
        <f t="shared" si="252"/>
        <v>-11</v>
      </c>
      <c r="AG49" s="78">
        <f t="shared" ref="AG49" si="354">AVERAGE(AF49:AF50)</f>
        <v>-57</v>
      </c>
      <c r="AH49" s="112">
        <v>3144</v>
      </c>
      <c r="AI49" s="71">
        <f t="shared" si="254"/>
        <v>-14</v>
      </c>
      <c r="AJ49" s="78">
        <f t="shared" ref="AJ49" si="355">AVERAGE(AI49:AI50)</f>
        <v>-116</v>
      </c>
      <c r="AK49" s="113">
        <v>16</v>
      </c>
      <c r="AL49" s="78">
        <f t="shared" si="151"/>
        <v>14</v>
      </c>
      <c r="AM49" s="114">
        <v>14</v>
      </c>
      <c r="AN49" s="114">
        <v>12</v>
      </c>
      <c r="AO49" s="70">
        <f t="shared" si="256"/>
        <v>-2</v>
      </c>
      <c r="AP49" s="78">
        <f t="shared" ref="AP49" si="356">AVERAGE(AO49:AO50)</f>
        <v>-1.5</v>
      </c>
      <c r="AQ49" s="114">
        <v>12</v>
      </c>
      <c r="AR49" s="71">
        <f t="shared" si="258"/>
        <v>-2</v>
      </c>
      <c r="AS49" s="59">
        <f t="shared" ref="AS49" si="357">AVERAGE(AR49:AR50)</f>
        <v>0</v>
      </c>
      <c r="AT49" s="90">
        <v>0.82390874094431876</v>
      </c>
      <c r="AU49" s="73">
        <v>0.76143937264016881</v>
      </c>
      <c r="AV49" s="91">
        <v>0.15490195998574319</v>
      </c>
      <c r="AW49" s="91">
        <v>0.22184874961635639</v>
      </c>
      <c r="AX49" s="75">
        <f t="shared" si="260"/>
        <v>6.6946789630613207E-2</v>
      </c>
      <c r="AY49" s="59">
        <f t="shared" ref="AY49" si="358">AVERAGE(AX49:AX50)</f>
        <v>0.16110964736695965</v>
      </c>
      <c r="AZ49" s="91">
        <v>4.5757490560675143E-2</v>
      </c>
      <c r="BA49" s="75">
        <f t="shared" si="262"/>
        <v>-0.10914446942506804</v>
      </c>
      <c r="BB49" s="59">
        <f t="shared" ref="BB49" si="359">AVERAGE(BA49:BA50)</f>
        <v>-2.8995973488843384E-2</v>
      </c>
      <c r="BC49" s="92">
        <v>0.15490195998574319</v>
      </c>
      <c r="BD49" s="92">
        <v>4.5757490560675143E-2</v>
      </c>
      <c r="BE49" s="71">
        <f t="shared" si="264"/>
        <v>-0.10914446942506804</v>
      </c>
      <c r="BF49" s="78">
        <f t="shared" ref="BF49" si="360">AVERAGE(BE49:BE50)</f>
        <v>-5.4572234712534022E-2</v>
      </c>
      <c r="BG49" s="92">
        <v>4.5757490560675143E-2</v>
      </c>
      <c r="BH49" s="71">
        <f t="shared" si="266"/>
        <v>-0.10914446942506804</v>
      </c>
      <c r="BI49" s="78">
        <f t="shared" ref="BI49" si="361">AVERAGE(BH49:BH50)</f>
        <v>-3.1693489432196451E-2</v>
      </c>
      <c r="BJ49" s="93">
        <v>98</v>
      </c>
      <c r="BK49" s="94">
        <v>98</v>
      </c>
    </row>
    <row r="50" spans="1:63" ht="15" customHeight="1">
      <c r="A50" s="81"/>
      <c r="B50" s="82"/>
      <c r="C50" s="115"/>
      <c r="D50" s="84"/>
      <c r="E50" s="107">
        <v>-2.5</v>
      </c>
      <c r="F50" s="59"/>
      <c r="G50" s="276"/>
      <c r="H50" s="118" t="s">
        <v>10</v>
      </c>
      <c r="I50" s="136">
        <v>24.9</v>
      </c>
      <c r="J50" s="56"/>
      <c r="K50" s="118">
        <v>24.94</v>
      </c>
      <c r="L50" s="58">
        <f t="shared" si="345"/>
        <v>4.00000000000027E-2</v>
      </c>
      <c r="M50" s="59"/>
      <c r="N50" s="118">
        <v>24.93</v>
      </c>
      <c r="O50" s="60">
        <f t="shared" si="347"/>
        <v>-1.0000000000001563E-2</v>
      </c>
      <c r="P50" s="56"/>
      <c r="Q50" s="118">
        <v>25.1</v>
      </c>
      <c r="R50" s="61">
        <f t="shared" si="349"/>
        <v>0.16000000000000014</v>
      </c>
      <c r="S50" s="59"/>
      <c r="T50" s="118">
        <v>25.29</v>
      </c>
      <c r="U50" s="60">
        <f t="shared" si="247"/>
        <v>0.34999999999999787</v>
      </c>
      <c r="V50" s="56"/>
      <c r="W50" s="118">
        <v>25.34</v>
      </c>
      <c r="X50" s="61">
        <f t="shared" si="248"/>
        <v>0.39999999999999858</v>
      </c>
      <c r="Y50" s="59"/>
      <c r="Z50" s="61">
        <f t="shared" si="250"/>
        <v>0.23999999999999844</v>
      </c>
      <c r="AA50" s="59"/>
      <c r="AB50" s="137">
        <v>3266</v>
      </c>
      <c r="AC50" s="66"/>
      <c r="AD50" s="112">
        <v>3262</v>
      </c>
      <c r="AE50" s="112">
        <v>3159</v>
      </c>
      <c r="AF50" s="71">
        <f t="shared" si="252"/>
        <v>-103</v>
      </c>
      <c r="AG50" s="78"/>
      <c r="AH50" s="112">
        <v>3044</v>
      </c>
      <c r="AI50" s="71">
        <f t="shared" si="254"/>
        <v>-218</v>
      </c>
      <c r="AJ50" s="78"/>
      <c r="AK50" s="113">
        <v>12</v>
      </c>
      <c r="AL50" s="78"/>
      <c r="AM50" s="114">
        <v>12</v>
      </c>
      <c r="AN50" s="114">
        <v>11</v>
      </c>
      <c r="AO50" s="70">
        <f t="shared" si="256"/>
        <v>-1</v>
      </c>
      <c r="AP50" s="78"/>
      <c r="AQ50" s="114">
        <v>14</v>
      </c>
      <c r="AR50" s="71">
        <f t="shared" si="258"/>
        <v>2</v>
      </c>
      <c r="AS50" s="59"/>
      <c r="AT50" s="90">
        <v>0.69897000433601886</v>
      </c>
      <c r="AU50" s="73"/>
      <c r="AV50" s="91">
        <v>4.5757490560675143E-2</v>
      </c>
      <c r="AW50" s="91">
        <v>0.3010299956639812</v>
      </c>
      <c r="AX50" s="75">
        <f t="shared" si="260"/>
        <v>0.25527250510330607</v>
      </c>
      <c r="AY50" s="59"/>
      <c r="AZ50" s="91">
        <v>9.691001300805642E-2</v>
      </c>
      <c r="BA50" s="75">
        <f t="shared" si="262"/>
        <v>5.1152522447381277E-2</v>
      </c>
      <c r="BB50" s="59"/>
      <c r="BC50" s="92">
        <v>0</v>
      </c>
      <c r="BD50" s="92">
        <v>0</v>
      </c>
      <c r="BE50" s="71">
        <f t="shared" si="264"/>
        <v>0</v>
      </c>
      <c r="BF50" s="78"/>
      <c r="BG50" s="92">
        <v>4.5757490560675143E-2</v>
      </c>
      <c r="BH50" s="71">
        <f t="shared" si="266"/>
        <v>4.5757490560675143E-2</v>
      </c>
      <c r="BI50" s="78"/>
      <c r="BJ50" s="93"/>
      <c r="BK50" s="94"/>
    </row>
    <row r="51" spans="1:63" ht="15" customHeight="1">
      <c r="A51" s="95">
        <v>24</v>
      </c>
      <c r="B51" s="82" t="s">
        <v>29</v>
      </c>
      <c r="C51" s="138">
        <v>11.021917808219179</v>
      </c>
      <c r="D51" s="97" t="s">
        <v>0</v>
      </c>
      <c r="E51" s="107">
        <v>-3.5</v>
      </c>
      <c r="F51" s="59">
        <f t="shared" si="0"/>
        <v>-2.75</v>
      </c>
      <c r="G51" s="277">
        <v>42730</v>
      </c>
      <c r="H51" s="118" t="s">
        <v>9</v>
      </c>
      <c r="I51" s="134">
        <v>25.57</v>
      </c>
      <c r="J51" s="56">
        <f t="shared" si="344"/>
        <v>25.255000000000003</v>
      </c>
      <c r="K51" s="110">
        <v>25.67</v>
      </c>
      <c r="L51" s="58">
        <f t="shared" ref="L51:L52" si="362">K51-I51</f>
        <v>0.10000000000000142</v>
      </c>
      <c r="M51" s="59">
        <f t="shared" ref="M51" si="363">AVERAGE(L51:L52)</f>
        <v>4.0000000000000924E-2</v>
      </c>
      <c r="N51" s="110">
        <v>25.72</v>
      </c>
      <c r="O51" s="60">
        <f t="shared" ref="O51:O52" si="364">N51-K51</f>
        <v>4.9999999999997158E-2</v>
      </c>
      <c r="P51" s="56">
        <f t="shared" ref="P51" si="365">AVERAGE(O51:O52)</f>
        <v>6.4999999999997726E-2</v>
      </c>
      <c r="Q51" s="110">
        <v>25.85</v>
      </c>
      <c r="R51" s="61">
        <f t="shared" ref="R51:R52" si="366">Q51-K51</f>
        <v>0.17999999999999972</v>
      </c>
      <c r="S51" s="59">
        <f t="shared" ref="S51" si="367">AVERAGE(R51:R52)</f>
        <v>0.17499999999999893</v>
      </c>
      <c r="T51" s="110">
        <v>26.01</v>
      </c>
      <c r="U51" s="60">
        <f t="shared" si="247"/>
        <v>0.33999999999999986</v>
      </c>
      <c r="V51" s="56">
        <f t="shared" ref="V51" si="368">AVERAGE(U51:U52)</f>
        <v>0.30999999999999872</v>
      </c>
      <c r="W51" s="110">
        <v>26.17</v>
      </c>
      <c r="X51" s="61">
        <f t="shared" si="248"/>
        <v>0.5</v>
      </c>
      <c r="Y51" s="59">
        <f t="shared" ref="Y51" si="369">AVERAGE(X51:X52)</f>
        <v>0.45999999999999908</v>
      </c>
      <c r="Z51" s="61">
        <f t="shared" si="250"/>
        <v>0.32000000000000028</v>
      </c>
      <c r="AA51" s="59">
        <f t="shared" ref="AA51" si="370">AVERAGE(Z51:Z52)</f>
        <v>0.28500000000000014</v>
      </c>
      <c r="AB51" s="111">
        <v>3094</v>
      </c>
      <c r="AC51" s="99">
        <f t="shared" si="163"/>
        <v>3158.5</v>
      </c>
      <c r="AD51" s="112">
        <v>3328</v>
      </c>
      <c r="AE51" s="112">
        <v>3170</v>
      </c>
      <c r="AF51" s="71">
        <f t="shared" si="252"/>
        <v>-158</v>
      </c>
      <c r="AG51" s="78">
        <f t="shared" ref="AG51" si="371">AVERAGE(AF51:AF52)</f>
        <v>-111.5</v>
      </c>
      <c r="AH51" s="112">
        <v>3136</v>
      </c>
      <c r="AI51" s="71">
        <f t="shared" si="254"/>
        <v>-192</v>
      </c>
      <c r="AJ51" s="78">
        <f t="shared" ref="AJ51" si="372">AVERAGE(AI51:AI52)</f>
        <v>-178</v>
      </c>
      <c r="AK51" s="113">
        <v>15</v>
      </c>
      <c r="AL51" s="78">
        <f t="shared" si="151"/>
        <v>14.5</v>
      </c>
      <c r="AM51" s="114">
        <v>14</v>
      </c>
      <c r="AN51" s="114">
        <v>15</v>
      </c>
      <c r="AO51" s="70">
        <f t="shared" si="256"/>
        <v>1</v>
      </c>
      <c r="AP51" s="78">
        <f t="shared" ref="AP51" si="373">AVERAGE(AO51:AO52)</f>
        <v>0.5</v>
      </c>
      <c r="AQ51" s="114">
        <v>14</v>
      </c>
      <c r="AR51" s="71">
        <f t="shared" si="258"/>
        <v>0</v>
      </c>
      <c r="AS51" s="59">
        <f t="shared" ref="AS51" si="374">AVERAGE(AR51:AR52)</f>
        <v>0</v>
      </c>
      <c r="AT51" s="90">
        <v>1</v>
      </c>
      <c r="AU51" s="73">
        <v>0.76143937264016881</v>
      </c>
      <c r="AV51" s="91">
        <v>-7.9181246047624804E-2</v>
      </c>
      <c r="AW51" s="91">
        <v>0.52287874528033762</v>
      </c>
      <c r="AX51" s="75">
        <f t="shared" si="260"/>
        <v>0.6020599913279624</v>
      </c>
      <c r="AY51" s="59">
        <f t="shared" ref="AY51" si="375">AVERAGE(AX51:AX52)</f>
        <v>0.34948500216800943</v>
      </c>
      <c r="AZ51" s="91">
        <v>0.52287874528033762</v>
      </c>
      <c r="BA51" s="75">
        <f t="shared" si="262"/>
        <v>0.6020599913279624</v>
      </c>
      <c r="BB51" s="59">
        <f t="shared" ref="BB51" si="376">AVERAGE(BA51:BA52)</f>
        <v>0.58804562952784067</v>
      </c>
      <c r="BC51" s="92">
        <v>-7.9181246047624804E-2</v>
      </c>
      <c r="BD51" s="92">
        <v>-7.9181246047624804E-2</v>
      </c>
      <c r="BE51" s="71">
        <f t="shared" si="264"/>
        <v>0</v>
      </c>
      <c r="BF51" s="78">
        <f t="shared" ref="BF51" si="377">AVERAGE(BE51:BE52)</f>
        <v>3.9590623023812402E-2</v>
      </c>
      <c r="BG51" s="92">
        <v>0</v>
      </c>
      <c r="BH51" s="71">
        <f t="shared" si="266"/>
        <v>7.9181246047624804E-2</v>
      </c>
      <c r="BI51" s="78">
        <f t="shared" ref="BI51" si="378">AVERAGE(BH51:BH52)</f>
        <v>7.9181246047624804E-2</v>
      </c>
      <c r="BJ51" s="93">
        <v>90</v>
      </c>
      <c r="BK51" s="94">
        <v>93</v>
      </c>
    </row>
    <row r="52" spans="1:63" ht="15" customHeight="1">
      <c r="A52" s="81"/>
      <c r="B52" s="82"/>
      <c r="C52" s="115"/>
      <c r="D52" s="84"/>
      <c r="E52" s="107">
        <v>-2</v>
      </c>
      <c r="F52" s="59"/>
      <c r="G52" s="278"/>
      <c r="H52" s="118" t="s">
        <v>10</v>
      </c>
      <c r="I52" s="134">
        <v>24.94</v>
      </c>
      <c r="J52" s="56"/>
      <c r="K52" s="110">
        <v>24.92</v>
      </c>
      <c r="L52" s="58">
        <f t="shared" si="362"/>
        <v>-1.9999999999999574E-2</v>
      </c>
      <c r="M52" s="59"/>
      <c r="N52" s="110">
        <v>25</v>
      </c>
      <c r="O52" s="60">
        <f t="shared" si="364"/>
        <v>7.9999999999998295E-2</v>
      </c>
      <c r="P52" s="56"/>
      <c r="Q52" s="110">
        <v>25.09</v>
      </c>
      <c r="R52" s="61">
        <f t="shared" si="366"/>
        <v>0.16999999999999815</v>
      </c>
      <c r="S52" s="59"/>
      <c r="T52" s="110">
        <v>25.2</v>
      </c>
      <c r="U52" s="60">
        <f t="shared" si="247"/>
        <v>0.27999999999999758</v>
      </c>
      <c r="V52" s="56"/>
      <c r="W52" s="110">
        <v>25.34</v>
      </c>
      <c r="X52" s="61">
        <f t="shared" si="248"/>
        <v>0.41999999999999815</v>
      </c>
      <c r="Y52" s="59"/>
      <c r="Z52" s="61">
        <f t="shared" si="250"/>
        <v>0.25</v>
      </c>
      <c r="AA52" s="59"/>
      <c r="AB52" s="111">
        <v>3223</v>
      </c>
      <c r="AC52" s="66"/>
      <c r="AD52" s="112">
        <v>3250</v>
      </c>
      <c r="AE52" s="112">
        <v>3185</v>
      </c>
      <c r="AF52" s="71">
        <f t="shared" si="252"/>
        <v>-65</v>
      </c>
      <c r="AG52" s="78"/>
      <c r="AH52" s="112">
        <v>3086</v>
      </c>
      <c r="AI52" s="71">
        <f t="shared" si="254"/>
        <v>-164</v>
      </c>
      <c r="AJ52" s="78"/>
      <c r="AK52" s="113">
        <v>14</v>
      </c>
      <c r="AL52" s="78"/>
      <c r="AM52" s="114">
        <v>14</v>
      </c>
      <c r="AN52" s="114">
        <v>14</v>
      </c>
      <c r="AO52" s="70">
        <f t="shared" si="256"/>
        <v>0</v>
      </c>
      <c r="AP52" s="78"/>
      <c r="AQ52" s="114">
        <v>14</v>
      </c>
      <c r="AR52" s="71">
        <f t="shared" si="258"/>
        <v>0</v>
      </c>
      <c r="AS52" s="59"/>
      <c r="AT52" s="90">
        <v>0.52287874528033762</v>
      </c>
      <c r="AU52" s="73"/>
      <c r="AV52" s="91">
        <v>-0.17609125905568127</v>
      </c>
      <c r="AW52" s="91">
        <v>-7.9181246047624804E-2</v>
      </c>
      <c r="AX52" s="75">
        <f t="shared" si="260"/>
        <v>9.6910013008056461E-2</v>
      </c>
      <c r="AY52" s="59"/>
      <c r="AZ52" s="91">
        <v>0.3979400086720376</v>
      </c>
      <c r="BA52" s="75">
        <f t="shared" si="262"/>
        <v>0.57403126772771884</v>
      </c>
      <c r="BB52" s="59"/>
      <c r="BC52" s="92">
        <v>-7.9181246047624804E-2</v>
      </c>
      <c r="BD52" s="92">
        <v>0</v>
      </c>
      <c r="BE52" s="71">
        <f t="shared" si="264"/>
        <v>7.9181246047624804E-2</v>
      </c>
      <c r="BF52" s="78"/>
      <c r="BG52" s="92">
        <v>0</v>
      </c>
      <c r="BH52" s="71">
        <f t="shared" si="266"/>
        <v>7.9181246047624804E-2</v>
      </c>
      <c r="BI52" s="78"/>
      <c r="BJ52" s="93"/>
      <c r="BK52" s="94"/>
    </row>
    <row r="53" spans="1:63" ht="15" customHeight="1">
      <c r="A53" s="95">
        <v>25</v>
      </c>
      <c r="B53" s="82" t="s">
        <v>28</v>
      </c>
      <c r="C53" s="129">
        <v>11.358904109589041</v>
      </c>
      <c r="D53" s="97" t="s">
        <v>1</v>
      </c>
      <c r="E53" s="85">
        <v>-1.625</v>
      </c>
      <c r="F53" s="59">
        <f t="shared" si="0"/>
        <v>-1.5</v>
      </c>
      <c r="G53" s="272">
        <v>42020</v>
      </c>
      <c r="H53" s="139" t="s">
        <v>9</v>
      </c>
      <c r="I53" s="103">
        <v>23.74</v>
      </c>
      <c r="J53" s="56">
        <f t="shared" si="1"/>
        <v>23.524999999999999</v>
      </c>
      <c r="K53" s="104">
        <v>23.75</v>
      </c>
      <c r="L53" s="58">
        <f t="shared" si="27"/>
        <v>1.0000000000001563E-2</v>
      </c>
      <c r="M53" s="59">
        <f t="shared" ref="M53" si="379">AVERAGE(L53:L54)</f>
        <v>0.10000000000000142</v>
      </c>
      <c r="N53" s="104">
        <v>23.79</v>
      </c>
      <c r="O53" s="60">
        <f t="shared" si="28"/>
        <v>3.9999999999999147E-2</v>
      </c>
      <c r="P53" s="56">
        <f t="shared" ref="P53" si="380">AVERAGE(O53:O54)</f>
        <v>3.9999999999999147E-2</v>
      </c>
      <c r="Q53" s="104">
        <v>23.86</v>
      </c>
      <c r="R53" s="61">
        <f t="shared" si="29"/>
        <v>0.10999999999999943</v>
      </c>
      <c r="S53" s="59">
        <f t="shared" ref="S53" si="381">AVERAGE(R53:R54)</f>
        <v>9.4999999999998863E-2</v>
      </c>
      <c r="T53" s="104">
        <v>23.95</v>
      </c>
      <c r="U53" s="60">
        <f t="shared" si="247"/>
        <v>0.19999999999999929</v>
      </c>
      <c r="V53" s="56">
        <f t="shared" si="6"/>
        <v>0.15499999999999936</v>
      </c>
      <c r="W53" s="104">
        <v>24.07</v>
      </c>
      <c r="X53" s="61">
        <f t="shared" si="248"/>
        <v>0.32000000000000028</v>
      </c>
      <c r="Y53" s="59">
        <f t="shared" ref="Y53:Y57" si="382">AVERAGE(X53:X54)</f>
        <v>0.25500000000000078</v>
      </c>
      <c r="Z53" s="61">
        <f t="shared" si="250"/>
        <v>0.21000000000000085</v>
      </c>
      <c r="AA53" s="59">
        <f t="shared" ref="AA53" si="383">AVERAGE(Z53:Z54)</f>
        <v>0.16000000000000192</v>
      </c>
      <c r="AB53" s="71">
        <v>3333</v>
      </c>
      <c r="AC53" s="99">
        <f t="shared" si="163"/>
        <v>3305.5</v>
      </c>
      <c r="AD53" s="87">
        <v>3246</v>
      </c>
      <c r="AE53" s="87">
        <v>3225</v>
      </c>
      <c r="AF53" s="71">
        <f t="shared" si="252"/>
        <v>-21</v>
      </c>
      <c r="AG53" s="78">
        <f t="shared" ref="AG53" si="384">AVERAGE(AF53:AF54)</f>
        <v>-97</v>
      </c>
      <c r="AH53" s="87">
        <v>3003</v>
      </c>
      <c r="AI53" s="71">
        <f t="shared" si="254"/>
        <v>-243</v>
      </c>
      <c r="AJ53" s="78">
        <f t="shared" ref="AJ53" si="385">AVERAGE(AI53:AI54)</f>
        <v>-272.5</v>
      </c>
      <c r="AK53" s="88">
        <v>15</v>
      </c>
      <c r="AL53" s="78">
        <f t="shared" si="151"/>
        <v>15</v>
      </c>
      <c r="AM53" s="89">
        <v>15.5</v>
      </c>
      <c r="AN53" s="89">
        <v>14.5</v>
      </c>
      <c r="AO53" s="70">
        <f t="shared" si="256"/>
        <v>-1</v>
      </c>
      <c r="AP53" s="78">
        <f t="shared" ref="AP53" si="386">AVERAGE(AO53:AO54)</f>
        <v>-1</v>
      </c>
      <c r="AQ53" s="89">
        <v>15</v>
      </c>
      <c r="AR53" s="71">
        <f t="shared" si="258"/>
        <v>-0.5</v>
      </c>
      <c r="AS53" s="59">
        <f t="shared" ref="AS53" si="387">AVERAGE(AR53:AR54)</f>
        <v>-1</v>
      </c>
      <c r="AT53" s="90">
        <v>0.69897000433601886</v>
      </c>
      <c r="AU53" s="73">
        <v>0.61092437480817829</v>
      </c>
      <c r="AV53" s="91">
        <v>-7.9181246047624804E-2</v>
      </c>
      <c r="AW53" s="91">
        <v>-7.9181246047624804E-2</v>
      </c>
      <c r="AX53" s="75">
        <f t="shared" si="260"/>
        <v>0</v>
      </c>
      <c r="AY53" s="59">
        <f t="shared" ref="AY53" si="388">AVERAGE(AX53:AX54)</f>
        <v>4.845500650402821E-2</v>
      </c>
      <c r="AZ53" s="91">
        <v>4.5757490560675143E-2</v>
      </c>
      <c r="BA53" s="75">
        <f t="shared" si="262"/>
        <v>0.12493873660829995</v>
      </c>
      <c r="BB53" s="59">
        <f t="shared" ref="BB53" si="389">AVERAGE(BA53:BA54)</f>
        <v>0.11092437480817818</v>
      </c>
      <c r="BC53" s="92">
        <v>-7.9181246047624804E-2</v>
      </c>
      <c r="BD53" s="92">
        <v>0</v>
      </c>
      <c r="BE53" s="71">
        <f t="shared" si="264"/>
        <v>7.9181246047624804E-2</v>
      </c>
      <c r="BF53" s="78">
        <f t="shared" ref="BF53" si="390">AVERAGE(BE53:BE54)</f>
        <v>7.9181246047624804E-2</v>
      </c>
      <c r="BG53" s="92">
        <v>0</v>
      </c>
      <c r="BH53" s="71">
        <f t="shared" si="266"/>
        <v>7.9181246047624804E-2</v>
      </c>
      <c r="BI53" s="78">
        <f t="shared" ref="BI53" si="391">AVERAGE(BH53:BH54)</f>
        <v>7.9181246047624804E-2</v>
      </c>
      <c r="BJ53" s="93">
        <v>100</v>
      </c>
      <c r="BK53" s="94">
        <v>100</v>
      </c>
    </row>
    <row r="54" spans="1:63" ht="15" customHeight="1">
      <c r="A54" s="81"/>
      <c r="B54" s="82"/>
      <c r="C54" s="102"/>
      <c r="D54" s="84"/>
      <c r="E54" s="85">
        <v>-1.375</v>
      </c>
      <c r="F54" s="59"/>
      <c r="G54" s="271"/>
      <c r="H54" s="54" t="s">
        <v>10</v>
      </c>
      <c r="I54" s="55">
        <v>23.31</v>
      </c>
      <c r="J54" s="56"/>
      <c r="K54" s="86">
        <v>23.5</v>
      </c>
      <c r="L54" s="58">
        <f t="shared" si="27"/>
        <v>0.19000000000000128</v>
      </c>
      <c r="M54" s="59"/>
      <c r="N54" s="86">
        <v>23.54</v>
      </c>
      <c r="O54" s="60">
        <f t="shared" si="28"/>
        <v>3.9999999999999147E-2</v>
      </c>
      <c r="P54" s="56"/>
      <c r="Q54" s="86">
        <v>23.58</v>
      </c>
      <c r="R54" s="61">
        <f t="shared" si="29"/>
        <v>7.9999999999998295E-2</v>
      </c>
      <c r="S54" s="59"/>
      <c r="T54" s="86">
        <v>23.61</v>
      </c>
      <c r="U54" s="60">
        <f t="shared" si="247"/>
        <v>0.10999999999999943</v>
      </c>
      <c r="V54" s="56"/>
      <c r="W54" s="86">
        <v>23.69</v>
      </c>
      <c r="X54" s="61">
        <f t="shared" si="248"/>
        <v>0.19000000000000128</v>
      </c>
      <c r="Y54" s="59"/>
      <c r="Z54" s="61">
        <f t="shared" si="250"/>
        <v>0.11000000000000298</v>
      </c>
      <c r="AA54" s="59"/>
      <c r="AB54" s="71">
        <v>3278</v>
      </c>
      <c r="AC54" s="66"/>
      <c r="AD54" s="87">
        <v>3278</v>
      </c>
      <c r="AE54" s="87">
        <v>3105</v>
      </c>
      <c r="AF54" s="71">
        <f t="shared" si="252"/>
        <v>-173</v>
      </c>
      <c r="AG54" s="78"/>
      <c r="AH54" s="87">
        <v>2976</v>
      </c>
      <c r="AI54" s="71">
        <f t="shared" si="254"/>
        <v>-302</v>
      </c>
      <c r="AJ54" s="78"/>
      <c r="AK54" s="88">
        <v>15</v>
      </c>
      <c r="AL54" s="78"/>
      <c r="AM54" s="89">
        <v>15</v>
      </c>
      <c r="AN54" s="89">
        <v>14</v>
      </c>
      <c r="AO54" s="70">
        <f t="shared" si="256"/>
        <v>-1</v>
      </c>
      <c r="AP54" s="78"/>
      <c r="AQ54" s="89">
        <v>13.5</v>
      </c>
      <c r="AR54" s="71">
        <f t="shared" si="258"/>
        <v>-1.5</v>
      </c>
      <c r="AS54" s="59"/>
      <c r="AT54" s="90">
        <v>0.52287874528033762</v>
      </c>
      <c r="AU54" s="73"/>
      <c r="AV54" s="91">
        <v>0</v>
      </c>
      <c r="AW54" s="91">
        <v>9.691001300805642E-2</v>
      </c>
      <c r="AX54" s="75">
        <f t="shared" si="260"/>
        <v>9.691001300805642E-2</v>
      </c>
      <c r="AY54" s="59"/>
      <c r="AZ54" s="91">
        <v>9.691001300805642E-2</v>
      </c>
      <c r="BA54" s="75">
        <f t="shared" si="262"/>
        <v>9.691001300805642E-2</v>
      </c>
      <c r="BB54" s="59"/>
      <c r="BC54" s="92">
        <v>-7.9181246047624804E-2</v>
      </c>
      <c r="BD54" s="92">
        <v>0</v>
      </c>
      <c r="BE54" s="71">
        <f t="shared" si="264"/>
        <v>7.9181246047624804E-2</v>
      </c>
      <c r="BF54" s="78"/>
      <c r="BG54" s="92">
        <v>0</v>
      </c>
      <c r="BH54" s="71">
        <f t="shared" si="266"/>
        <v>7.9181246047624804E-2</v>
      </c>
      <c r="BI54" s="78"/>
      <c r="BJ54" s="93"/>
      <c r="BK54" s="94"/>
    </row>
    <row r="55" spans="1:63" ht="15" customHeight="1">
      <c r="A55" s="95">
        <v>26</v>
      </c>
      <c r="B55" s="82" t="s">
        <v>28</v>
      </c>
      <c r="C55" s="101">
        <v>12.372602739726027</v>
      </c>
      <c r="D55" s="97" t="s">
        <v>0</v>
      </c>
      <c r="E55" s="85">
        <v>-1.375</v>
      </c>
      <c r="F55" s="59">
        <f t="shared" si="0"/>
        <v>-1.6875</v>
      </c>
      <c r="G55" s="272">
        <v>42209</v>
      </c>
      <c r="H55" s="54" t="s">
        <v>9</v>
      </c>
      <c r="I55" s="55">
        <v>24.36</v>
      </c>
      <c r="J55" s="56">
        <f t="shared" si="1"/>
        <v>24.53</v>
      </c>
      <c r="K55" s="86">
        <v>24.3</v>
      </c>
      <c r="L55" s="58">
        <f t="shared" si="27"/>
        <v>-5.9999999999998721E-2</v>
      </c>
      <c r="M55" s="59">
        <f t="shared" ref="M55" si="392">AVERAGE(L55:L56)</f>
        <v>-5.4999999999999716E-2</v>
      </c>
      <c r="N55" s="86">
        <v>24.42</v>
      </c>
      <c r="O55" s="60">
        <f t="shared" si="28"/>
        <v>0.12000000000000099</v>
      </c>
      <c r="P55" s="56">
        <f t="shared" ref="P55" si="393">AVERAGE(O55:O56)</f>
        <v>9.0000000000001634E-2</v>
      </c>
      <c r="Q55" s="86">
        <v>24.43</v>
      </c>
      <c r="R55" s="61">
        <f t="shared" si="29"/>
        <v>0.12999999999999901</v>
      </c>
      <c r="S55" s="59">
        <f t="shared" ref="S55" si="394">AVERAGE(R55:R56)</f>
        <v>9.9999999999999645E-2</v>
      </c>
      <c r="T55" s="86">
        <v>24.5</v>
      </c>
      <c r="U55" s="60">
        <f t="shared" si="247"/>
        <v>0.19999999999999929</v>
      </c>
      <c r="V55" s="56">
        <f t="shared" si="6"/>
        <v>0.15500000000000114</v>
      </c>
      <c r="W55" s="86">
        <v>24.52</v>
      </c>
      <c r="X55" s="61">
        <f t="shared" si="248"/>
        <v>0.21999999999999886</v>
      </c>
      <c r="Y55" s="59">
        <f t="shared" si="382"/>
        <v>0.16500000000000092</v>
      </c>
      <c r="Z55" s="61">
        <f t="shared" si="250"/>
        <v>8.9999999999999858E-2</v>
      </c>
      <c r="AA55" s="59">
        <f t="shared" ref="AA55" si="395">AVERAGE(Z55:Z56)</f>
        <v>6.5000000000001279E-2</v>
      </c>
      <c r="AB55" s="71">
        <v>3278</v>
      </c>
      <c r="AC55" s="99">
        <f t="shared" si="163"/>
        <v>3251.5</v>
      </c>
      <c r="AD55" s="87">
        <v>3215</v>
      </c>
      <c r="AE55" s="87">
        <v>3389</v>
      </c>
      <c r="AF55" s="71">
        <f t="shared" si="252"/>
        <v>174</v>
      </c>
      <c r="AG55" s="78">
        <f t="shared" ref="AG55" si="396">AVERAGE(AF55:AF56)</f>
        <v>109</v>
      </c>
      <c r="AH55" s="87">
        <v>3267</v>
      </c>
      <c r="AI55" s="71">
        <f t="shared" si="254"/>
        <v>52</v>
      </c>
      <c r="AJ55" s="78">
        <f t="shared" ref="AJ55" si="397">AVERAGE(AI55:AI56)</f>
        <v>70.5</v>
      </c>
      <c r="AK55" s="88">
        <v>17</v>
      </c>
      <c r="AL55" s="78">
        <f t="shared" si="151"/>
        <v>17</v>
      </c>
      <c r="AM55" s="89">
        <v>15</v>
      </c>
      <c r="AN55" s="89">
        <v>15.5</v>
      </c>
      <c r="AO55" s="70">
        <f t="shared" si="256"/>
        <v>0.5</v>
      </c>
      <c r="AP55" s="78">
        <f t="shared" ref="AP55" si="398">AVERAGE(AO55:AO56)</f>
        <v>1</v>
      </c>
      <c r="AQ55" s="89">
        <v>20.3</v>
      </c>
      <c r="AR55" s="71">
        <f t="shared" si="258"/>
        <v>5.3000000000000007</v>
      </c>
      <c r="AS55" s="59">
        <f t="shared" ref="AS55" si="399">AVERAGE(AR55:AR56)</f>
        <v>3.9000000000000004</v>
      </c>
      <c r="AT55" s="90">
        <v>0.69897000433601886</v>
      </c>
      <c r="AU55" s="73">
        <v>0.76143937264016881</v>
      </c>
      <c r="AV55" s="91">
        <v>0</v>
      </c>
      <c r="AW55" s="91">
        <v>-7.9181246047624804E-2</v>
      </c>
      <c r="AX55" s="75">
        <f t="shared" si="260"/>
        <v>-7.9181246047624804E-2</v>
      </c>
      <c r="AY55" s="59">
        <f t="shared" ref="AY55" si="400">AVERAGE(AX55:AX56)</f>
        <v>0</v>
      </c>
      <c r="AZ55" s="91">
        <v>-7.9181246047624804E-2</v>
      </c>
      <c r="BA55" s="75">
        <f t="shared" si="262"/>
        <v>-7.9181246047624804E-2</v>
      </c>
      <c r="BB55" s="59">
        <f t="shared" ref="BB55" si="401">AVERAGE(BA55:BA56)</f>
        <v>-3.9590623023812402E-2</v>
      </c>
      <c r="BC55" s="92">
        <v>9.691001300805642E-2</v>
      </c>
      <c r="BD55" s="92">
        <v>4.5757490560675143E-2</v>
      </c>
      <c r="BE55" s="71">
        <f t="shared" si="264"/>
        <v>-5.1152522447381277E-2</v>
      </c>
      <c r="BF55" s="78">
        <f t="shared" ref="BF55" si="402">AVERAGE(BE55:BE56)</f>
        <v>-2.5576261223690638E-2</v>
      </c>
      <c r="BG55" s="92">
        <v>4.5757490560675143E-2</v>
      </c>
      <c r="BH55" s="71">
        <f t="shared" si="266"/>
        <v>-5.1152522447381277E-2</v>
      </c>
      <c r="BI55" s="78">
        <f t="shared" ref="BI55" si="403">AVERAGE(BH55:BH56)</f>
        <v>-4.845500650402821E-2</v>
      </c>
      <c r="BJ55" s="93">
        <v>100</v>
      </c>
      <c r="BK55" s="94">
        <v>98</v>
      </c>
    </row>
    <row r="56" spans="1:63" ht="15" customHeight="1">
      <c r="A56" s="81"/>
      <c r="B56" s="82"/>
      <c r="C56" s="102"/>
      <c r="D56" s="84"/>
      <c r="E56" s="85">
        <v>-2</v>
      </c>
      <c r="F56" s="59"/>
      <c r="G56" s="271"/>
      <c r="H56" s="54" t="s">
        <v>10</v>
      </c>
      <c r="I56" s="55">
        <v>24.7</v>
      </c>
      <c r="J56" s="56"/>
      <c r="K56" s="86">
        <v>24.65</v>
      </c>
      <c r="L56" s="58">
        <f t="shared" si="27"/>
        <v>-5.0000000000000711E-2</v>
      </c>
      <c r="M56" s="59"/>
      <c r="N56" s="86">
        <v>24.71</v>
      </c>
      <c r="O56" s="60">
        <f t="shared" si="28"/>
        <v>6.0000000000002274E-2</v>
      </c>
      <c r="P56" s="56"/>
      <c r="Q56" s="86">
        <v>24.72</v>
      </c>
      <c r="R56" s="61">
        <f t="shared" si="29"/>
        <v>7.0000000000000284E-2</v>
      </c>
      <c r="S56" s="59"/>
      <c r="T56" s="86">
        <v>24.76</v>
      </c>
      <c r="U56" s="60">
        <f t="shared" si="247"/>
        <v>0.11000000000000298</v>
      </c>
      <c r="V56" s="56"/>
      <c r="W56" s="86">
        <v>24.76</v>
      </c>
      <c r="X56" s="61">
        <f t="shared" si="248"/>
        <v>0.11000000000000298</v>
      </c>
      <c r="Y56" s="59"/>
      <c r="Z56" s="61">
        <f t="shared" si="250"/>
        <v>4.00000000000027E-2</v>
      </c>
      <c r="AA56" s="59"/>
      <c r="AB56" s="71">
        <v>3225</v>
      </c>
      <c r="AC56" s="66"/>
      <c r="AD56" s="87">
        <v>3278</v>
      </c>
      <c r="AE56" s="87">
        <v>3322</v>
      </c>
      <c r="AF56" s="71">
        <f t="shared" si="252"/>
        <v>44</v>
      </c>
      <c r="AG56" s="78"/>
      <c r="AH56" s="87">
        <v>3367</v>
      </c>
      <c r="AI56" s="71">
        <f t="shared" si="254"/>
        <v>89</v>
      </c>
      <c r="AJ56" s="78"/>
      <c r="AK56" s="88">
        <v>17</v>
      </c>
      <c r="AL56" s="78"/>
      <c r="AM56" s="89">
        <v>14</v>
      </c>
      <c r="AN56" s="89">
        <v>15.5</v>
      </c>
      <c r="AO56" s="70">
        <f t="shared" si="256"/>
        <v>1.5</v>
      </c>
      <c r="AP56" s="78"/>
      <c r="AQ56" s="89">
        <v>16.5</v>
      </c>
      <c r="AR56" s="71">
        <f t="shared" si="258"/>
        <v>2.5</v>
      </c>
      <c r="AS56" s="59"/>
      <c r="AT56" s="90">
        <v>0.82390874094431876</v>
      </c>
      <c r="AU56" s="73"/>
      <c r="AV56" s="91">
        <v>-7.9181246047624804E-2</v>
      </c>
      <c r="AW56" s="91">
        <v>0</v>
      </c>
      <c r="AX56" s="75">
        <f t="shared" si="260"/>
        <v>7.9181246047624804E-2</v>
      </c>
      <c r="AY56" s="59"/>
      <c r="AZ56" s="91">
        <v>-7.9181246047624804E-2</v>
      </c>
      <c r="BA56" s="75">
        <f t="shared" si="262"/>
        <v>0</v>
      </c>
      <c r="BB56" s="59"/>
      <c r="BC56" s="92">
        <v>4.5757490560675143E-2</v>
      </c>
      <c r="BD56" s="92">
        <v>4.5757490560675143E-2</v>
      </c>
      <c r="BE56" s="71">
        <f t="shared" si="264"/>
        <v>0</v>
      </c>
      <c r="BF56" s="78"/>
      <c r="BG56" s="92">
        <v>0</v>
      </c>
      <c r="BH56" s="71">
        <f t="shared" si="266"/>
        <v>-4.5757490560675143E-2</v>
      </c>
      <c r="BI56" s="78"/>
      <c r="BJ56" s="93"/>
      <c r="BK56" s="94"/>
    </row>
    <row r="57" spans="1:63" ht="15" customHeight="1">
      <c r="A57" s="95">
        <v>27</v>
      </c>
      <c r="B57" s="82" t="s">
        <v>28</v>
      </c>
      <c r="C57" s="101">
        <v>12.032876712328767</v>
      </c>
      <c r="D57" s="97" t="s">
        <v>0</v>
      </c>
      <c r="E57" s="85">
        <v>-2</v>
      </c>
      <c r="F57" s="59">
        <f t="shared" si="0"/>
        <v>-1.9375</v>
      </c>
      <c r="G57" s="272">
        <v>42213</v>
      </c>
      <c r="H57" s="54" t="s">
        <v>9</v>
      </c>
      <c r="I57" s="55">
        <v>24.15</v>
      </c>
      <c r="J57" s="56">
        <f t="shared" si="1"/>
        <v>24.16</v>
      </c>
      <c r="K57" s="86">
        <v>24.2</v>
      </c>
      <c r="L57" s="58">
        <f t="shared" si="27"/>
        <v>5.0000000000000711E-2</v>
      </c>
      <c r="M57" s="59">
        <f t="shared" ref="M57" si="404">AVERAGE(L57:L58)</f>
        <v>7.0000000000000284E-2</v>
      </c>
      <c r="N57" s="86">
        <v>24.3</v>
      </c>
      <c r="O57" s="60">
        <f t="shared" si="28"/>
        <v>0.10000000000000142</v>
      </c>
      <c r="P57" s="56">
        <f t="shared" ref="P57" si="405">AVERAGE(O57:O58)</f>
        <v>0.10500000000000043</v>
      </c>
      <c r="Q57" s="86">
        <v>24.43</v>
      </c>
      <c r="R57" s="61">
        <f t="shared" si="29"/>
        <v>0.23000000000000043</v>
      </c>
      <c r="S57" s="59">
        <f t="shared" ref="S57" si="406">AVERAGE(R57:R58)</f>
        <v>0.23499999999999943</v>
      </c>
      <c r="T57" s="86">
        <v>24.5</v>
      </c>
      <c r="U57" s="60">
        <f t="shared" si="247"/>
        <v>0.30000000000000071</v>
      </c>
      <c r="V57" s="56">
        <f t="shared" si="6"/>
        <v>0.33999999999999986</v>
      </c>
      <c r="W57" s="86">
        <v>24.5</v>
      </c>
      <c r="X57" s="61">
        <f t="shared" si="248"/>
        <v>0.30000000000000071</v>
      </c>
      <c r="Y57" s="59">
        <f t="shared" si="382"/>
        <v>0.35999999999999943</v>
      </c>
      <c r="Z57" s="61">
        <f t="shared" si="250"/>
        <v>7.0000000000000284E-2</v>
      </c>
      <c r="AA57" s="59">
        <f t="shared" ref="AA57" si="407">AVERAGE(Z57:Z58)</f>
        <v>0.125</v>
      </c>
      <c r="AB57" s="71">
        <v>2985</v>
      </c>
      <c r="AC57" s="99">
        <f t="shared" si="163"/>
        <v>2900.5</v>
      </c>
      <c r="AD57" s="87">
        <v>3460</v>
      </c>
      <c r="AE57" s="87">
        <v>2857</v>
      </c>
      <c r="AF57" s="71">
        <f t="shared" si="252"/>
        <v>-603</v>
      </c>
      <c r="AG57" s="78">
        <f t="shared" ref="AG57" si="408">AVERAGE(AF57:AF58)</f>
        <v>-268</v>
      </c>
      <c r="AH57" s="87">
        <v>3448</v>
      </c>
      <c r="AI57" s="71">
        <f t="shared" si="254"/>
        <v>-12</v>
      </c>
      <c r="AJ57" s="78">
        <f t="shared" ref="AJ57" si="409">AVERAGE(AI57:AI58)</f>
        <v>121.5</v>
      </c>
      <c r="AK57" s="88">
        <v>16</v>
      </c>
      <c r="AL57" s="78">
        <f t="shared" si="151"/>
        <v>16</v>
      </c>
      <c r="AM57" s="89">
        <v>14</v>
      </c>
      <c r="AN57" s="89">
        <v>12</v>
      </c>
      <c r="AO57" s="70">
        <f t="shared" si="256"/>
        <v>-2</v>
      </c>
      <c r="AP57" s="78">
        <f t="shared" ref="AP57" si="410">AVERAGE(AO57:AO58)</f>
        <v>-0.75</v>
      </c>
      <c r="AQ57" s="89">
        <v>14</v>
      </c>
      <c r="AR57" s="71">
        <f t="shared" si="258"/>
        <v>0</v>
      </c>
      <c r="AS57" s="59">
        <f t="shared" ref="AS57" si="411">AVERAGE(AR57:AR58)</f>
        <v>-0.5</v>
      </c>
      <c r="AT57" s="90">
        <v>0.82390874094431876</v>
      </c>
      <c r="AU57" s="73">
        <v>0.76143937264016881</v>
      </c>
      <c r="AV57" s="91">
        <v>-7.9181246047624804E-2</v>
      </c>
      <c r="AW57" s="91">
        <v>-7.9181246047624804E-2</v>
      </c>
      <c r="AX57" s="75">
        <f t="shared" si="260"/>
        <v>0</v>
      </c>
      <c r="AY57" s="59">
        <f t="shared" ref="AY57" si="412">AVERAGE(AX57:AX58)</f>
        <v>0</v>
      </c>
      <c r="AZ57" s="91">
        <v>4.5757490560675143E-2</v>
      </c>
      <c r="BA57" s="75">
        <f t="shared" si="262"/>
        <v>0.12493873660829995</v>
      </c>
      <c r="BB57" s="59">
        <f t="shared" ref="BB57" si="413">AVERAGE(BA57:BA58)</f>
        <v>0.12493873660829995</v>
      </c>
      <c r="BC57" s="92">
        <v>-7.9181246047624804E-2</v>
      </c>
      <c r="BD57" s="92">
        <v>-7.9181246047624804E-2</v>
      </c>
      <c r="BE57" s="71">
        <f t="shared" si="264"/>
        <v>0</v>
      </c>
      <c r="BF57" s="78">
        <f t="shared" ref="BF57" si="414">AVERAGE(BE57:BE58)</f>
        <v>0</v>
      </c>
      <c r="BG57" s="92">
        <v>-7.9181246047624804E-2</v>
      </c>
      <c r="BH57" s="71">
        <f t="shared" si="266"/>
        <v>0</v>
      </c>
      <c r="BI57" s="78">
        <f t="shared" ref="BI57" si="415">AVERAGE(BH57:BH58)</f>
        <v>0</v>
      </c>
      <c r="BJ57" s="93">
        <v>100</v>
      </c>
      <c r="BK57" s="94">
        <v>100</v>
      </c>
    </row>
    <row r="58" spans="1:63" ht="15" customHeight="1">
      <c r="A58" s="81"/>
      <c r="B58" s="82"/>
      <c r="C58" s="102"/>
      <c r="D58" s="84"/>
      <c r="E58" s="85">
        <v>-1.875</v>
      </c>
      <c r="F58" s="59"/>
      <c r="G58" s="271"/>
      <c r="H58" s="86" t="s">
        <v>10</v>
      </c>
      <c r="I58" s="55">
        <v>24.17</v>
      </c>
      <c r="J58" s="56"/>
      <c r="K58" s="86">
        <v>24.26</v>
      </c>
      <c r="L58" s="58">
        <f t="shared" si="27"/>
        <v>8.9999999999999858E-2</v>
      </c>
      <c r="M58" s="59"/>
      <c r="N58" s="86">
        <v>24.37</v>
      </c>
      <c r="O58" s="60">
        <f t="shared" si="28"/>
        <v>0.10999999999999943</v>
      </c>
      <c r="P58" s="56"/>
      <c r="Q58" s="86">
        <v>24.5</v>
      </c>
      <c r="R58" s="61">
        <f t="shared" si="29"/>
        <v>0.23999999999999844</v>
      </c>
      <c r="S58" s="59"/>
      <c r="T58" s="86">
        <v>24.64</v>
      </c>
      <c r="U58" s="60">
        <f t="shared" si="247"/>
        <v>0.37999999999999901</v>
      </c>
      <c r="V58" s="56"/>
      <c r="W58" s="86">
        <v>24.68</v>
      </c>
      <c r="X58" s="61">
        <f t="shared" si="248"/>
        <v>0.41999999999999815</v>
      </c>
      <c r="Y58" s="59"/>
      <c r="Z58" s="61">
        <f t="shared" si="250"/>
        <v>0.17999999999999972</v>
      </c>
      <c r="AA58" s="59"/>
      <c r="AB58" s="71">
        <v>2816</v>
      </c>
      <c r="AC58" s="66"/>
      <c r="AD58" s="87">
        <v>3067</v>
      </c>
      <c r="AE58" s="87">
        <v>3134</v>
      </c>
      <c r="AF58" s="71">
        <f t="shared" si="252"/>
        <v>67</v>
      </c>
      <c r="AG58" s="78"/>
      <c r="AH58" s="87">
        <v>3322</v>
      </c>
      <c r="AI58" s="71">
        <f t="shared" si="254"/>
        <v>255</v>
      </c>
      <c r="AJ58" s="78"/>
      <c r="AK58" s="88">
        <v>16</v>
      </c>
      <c r="AL58" s="78"/>
      <c r="AM58" s="89">
        <v>14</v>
      </c>
      <c r="AN58" s="89">
        <v>14.5</v>
      </c>
      <c r="AO58" s="70">
        <f t="shared" si="256"/>
        <v>0.5</v>
      </c>
      <c r="AP58" s="78"/>
      <c r="AQ58" s="89">
        <v>13</v>
      </c>
      <c r="AR58" s="71">
        <f t="shared" si="258"/>
        <v>-1</v>
      </c>
      <c r="AS58" s="59"/>
      <c r="AT58" s="90">
        <v>0.69897000433601886</v>
      </c>
      <c r="AU58" s="73"/>
      <c r="AV58" s="91">
        <v>-7.9181246047624804E-2</v>
      </c>
      <c r="AW58" s="91">
        <v>-7.9181246047624804E-2</v>
      </c>
      <c r="AX58" s="75">
        <f t="shared" si="260"/>
        <v>0</v>
      </c>
      <c r="AY58" s="59"/>
      <c r="AZ58" s="91">
        <v>4.5757490560675143E-2</v>
      </c>
      <c r="BA58" s="75">
        <f t="shared" si="262"/>
        <v>0.12493873660829995</v>
      </c>
      <c r="BB58" s="59"/>
      <c r="BC58" s="92">
        <v>-7.9181246047624804E-2</v>
      </c>
      <c r="BD58" s="92">
        <v>-7.9181246047624804E-2</v>
      </c>
      <c r="BE58" s="71">
        <f t="shared" si="264"/>
        <v>0</v>
      </c>
      <c r="BF58" s="78"/>
      <c r="BG58" s="92">
        <v>-7.9181246047624804E-2</v>
      </c>
      <c r="BH58" s="71">
        <f t="shared" si="266"/>
        <v>0</v>
      </c>
      <c r="BI58" s="78"/>
      <c r="BJ58" s="93"/>
      <c r="BK58" s="94"/>
    </row>
    <row r="59" spans="1:63" ht="15" customHeight="1">
      <c r="A59" s="95">
        <v>28</v>
      </c>
      <c r="B59" s="82" t="s">
        <v>28</v>
      </c>
      <c r="C59" s="101">
        <v>11.673972602739726</v>
      </c>
      <c r="D59" s="97" t="s">
        <v>0</v>
      </c>
      <c r="E59" s="85">
        <v>-1.25</v>
      </c>
      <c r="F59" s="59">
        <f t="shared" si="0"/>
        <v>-1.25</v>
      </c>
      <c r="G59" s="272">
        <v>42322</v>
      </c>
      <c r="H59" s="54" t="s">
        <v>9</v>
      </c>
      <c r="I59" s="55">
        <v>23.62</v>
      </c>
      <c r="J59" s="56">
        <f t="shared" ref="J59" si="416">AVERAGE(I59:I60)</f>
        <v>23.515000000000001</v>
      </c>
      <c r="K59" s="86">
        <v>23.65</v>
      </c>
      <c r="L59" s="58">
        <f t="shared" ref="L59:L60" si="417">K59-I59</f>
        <v>2.9999999999997584E-2</v>
      </c>
      <c r="M59" s="59">
        <f t="shared" ref="M59" si="418">AVERAGE(L59:L60)</f>
        <v>3.4999999999998366E-2</v>
      </c>
      <c r="N59" s="86">
        <v>23.64</v>
      </c>
      <c r="O59" s="60">
        <f t="shared" ref="O59:O60" si="419">N59-K59</f>
        <v>-9.9999999999980105E-3</v>
      </c>
      <c r="P59" s="56">
        <v>0</v>
      </c>
      <c r="Q59" s="86">
        <v>23.81</v>
      </c>
      <c r="R59" s="61">
        <f t="shared" ref="R59:R60" si="420">Q59-K59</f>
        <v>0.16000000000000014</v>
      </c>
      <c r="S59" s="59">
        <f t="shared" ref="S59" si="421">AVERAGE(R59:R60)</f>
        <v>0.15500000000000114</v>
      </c>
      <c r="T59" s="86">
        <v>23.92</v>
      </c>
      <c r="U59" s="60">
        <f t="shared" si="247"/>
        <v>0.27000000000000313</v>
      </c>
      <c r="V59" s="56">
        <f t="shared" ref="V59" si="422">AVERAGE(U59:U60)</f>
        <v>0.26000000000000156</v>
      </c>
      <c r="W59" s="86">
        <v>24.13</v>
      </c>
      <c r="X59" s="61">
        <f t="shared" si="248"/>
        <v>0.48000000000000043</v>
      </c>
      <c r="Y59" s="59">
        <f t="shared" ref="Y59" si="423">AVERAGE(X59:X60)</f>
        <v>0.47000000000000064</v>
      </c>
      <c r="Z59" s="61">
        <f t="shared" si="250"/>
        <v>0.32000000000000028</v>
      </c>
      <c r="AA59" s="59">
        <f t="shared" ref="AA59" si="424">AVERAGE(Z59:Z60)</f>
        <v>0.3149999999999995</v>
      </c>
      <c r="AB59" s="71">
        <v>2958</v>
      </c>
      <c r="AC59" s="99">
        <f t="shared" si="163"/>
        <v>2980.5</v>
      </c>
      <c r="AD59" s="87">
        <v>2967</v>
      </c>
      <c r="AE59" s="87">
        <v>3021</v>
      </c>
      <c r="AF59" s="71">
        <f t="shared" si="252"/>
        <v>54</v>
      </c>
      <c r="AG59" s="78">
        <f t="shared" ref="AG59" si="425">AVERAGE(AF59:AF60)</f>
        <v>73</v>
      </c>
      <c r="AH59" s="87">
        <v>3058</v>
      </c>
      <c r="AI59" s="71">
        <f t="shared" si="254"/>
        <v>91</v>
      </c>
      <c r="AJ59" s="78">
        <f t="shared" ref="AJ59" si="426">AVERAGE(AI59:AI60)</f>
        <v>53.5</v>
      </c>
      <c r="AK59" s="88">
        <v>11.5</v>
      </c>
      <c r="AL59" s="78">
        <f t="shared" si="151"/>
        <v>11.25</v>
      </c>
      <c r="AM59" s="89">
        <v>10.3</v>
      </c>
      <c r="AN59" s="89">
        <v>10.5</v>
      </c>
      <c r="AO59" s="70">
        <f t="shared" si="256"/>
        <v>0.19999999999999929</v>
      </c>
      <c r="AP59" s="78">
        <f t="shared" ref="AP59" si="427">AVERAGE(AO59:AO60)</f>
        <v>-0.40000000000000036</v>
      </c>
      <c r="AQ59" s="89">
        <v>9</v>
      </c>
      <c r="AR59" s="71">
        <f t="shared" si="258"/>
        <v>-1.3000000000000007</v>
      </c>
      <c r="AS59" s="59">
        <f t="shared" ref="AS59" si="428">AVERAGE(AR59:AR60)</f>
        <v>-1.6500000000000004</v>
      </c>
      <c r="AT59" s="90">
        <v>0.52287874528033762</v>
      </c>
      <c r="AU59" s="73">
        <v>0.3388903526330404</v>
      </c>
      <c r="AV59" s="91">
        <v>-7.9181246047624804E-2</v>
      </c>
      <c r="AW59" s="91">
        <v>-7.9181246047624804E-2</v>
      </c>
      <c r="AX59" s="75">
        <f t="shared" si="260"/>
        <v>0</v>
      </c>
      <c r="AY59" s="59">
        <f t="shared" ref="AY59" si="429">AVERAGE(AX59:AX60)</f>
        <v>0</v>
      </c>
      <c r="AZ59" s="91">
        <v>-7.9181246047624804E-2</v>
      </c>
      <c r="BA59" s="75">
        <f t="shared" si="262"/>
        <v>0</v>
      </c>
      <c r="BB59" s="59">
        <f t="shared" ref="BB59" si="430">AVERAGE(BA59:BA60)</f>
        <v>0</v>
      </c>
      <c r="BC59" s="92">
        <v>0</v>
      </c>
      <c r="BD59" s="92">
        <v>0</v>
      </c>
      <c r="BE59" s="71">
        <f t="shared" si="264"/>
        <v>0</v>
      </c>
      <c r="BF59" s="78">
        <f t="shared" ref="BF59" si="431">AVERAGE(BE59:BE60)</f>
        <v>-2.2878745280337572E-2</v>
      </c>
      <c r="BG59" s="92">
        <v>0</v>
      </c>
      <c r="BH59" s="71">
        <f t="shared" si="266"/>
        <v>0</v>
      </c>
      <c r="BI59" s="78">
        <f t="shared" ref="BI59" si="432">AVERAGE(BH59:BH60)</f>
        <v>-2.2878745280337572E-2</v>
      </c>
      <c r="BJ59" s="93">
        <v>90</v>
      </c>
      <c r="BK59" s="94">
        <v>92</v>
      </c>
    </row>
    <row r="60" spans="1:63" ht="15" customHeight="1">
      <c r="A60" s="81"/>
      <c r="B60" s="82"/>
      <c r="C60" s="102"/>
      <c r="D60" s="84"/>
      <c r="E60" s="85">
        <v>-1.25</v>
      </c>
      <c r="F60" s="59"/>
      <c r="G60" s="271"/>
      <c r="H60" s="86" t="s">
        <v>10</v>
      </c>
      <c r="I60" s="55">
        <v>23.41</v>
      </c>
      <c r="J60" s="56"/>
      <c r="K60" s="86">
        <v>23.45</v>
      </c>
      <c r="L60" s="58">
        <f t="shared" si="417"/>
        <v>3.9999999999999147E-2</v>
      </c>
      <c r="M60" s="59"/>
      <c r="N60" s="86">
        <v>23.46</v>
      </c>
      <c r="O60" s="60">
        <f t="shared" si="419"/>
        <v>1.0000000000001563E-2</v>
      </c>
      <c r="P60" s="56"/>
      <c r="Q60" s="86">
        <v>23.6</v>
      </c>
      <c r="R60" s="61">
        <f t="shared" si="420"/>
        <v>0.15000000000000213</v>
      </c>
      <c r="S60" s="59"/>
      <c r="T60" s="86">
        <v>23.7</v>
      </c>
      <c r="U60" s="60">
        <f t="shared" si="247"/>
        <v>0.25</v>
      </c>
      <c r="V60" s="56"/>
      <c r="W60" s="86">
        <v>23.91</v>
      </c>
      <c r="X60" s="61">
        <f t="shared" si="248"/>
        <v>0.46000000000000085</v>
      </c>
      <c r="Y60" s="59"/>
      <c r="Z60" s="61">
        <f t="shared" si="250"/>
        <v>0.30999999999999872</v>
      </c>
      <c r="AA60" s="59"/>
      <c r="AB60" s="71">
        <v>3003</v>
      </c>
      <c r="AC60" s="66"/>
      <c r="AD60" s="87">
        <v>2849</v>
      </c>
      <c r="AE60" s="87">
        <v>2941</v>
      </c>
      <c r="AF60" s="71">
        <f t="shared" si="252"/>
        <v>92</v>
      </c>
      <c r="AG60" s="78"/>
      <c r="AH60" s="87">
        <v>2865</v>
      </c>
      <c r="AI60" s="71">
        <f t="shared" si="254"/>
        <v>16</v>
      </c>
      <c r="AJ60" s="78"/>
      <c r="AK60" s="88">
        <v>11</v>
      </c>
      <c r="AL60" s="78"/>
      <c r="AM60" s="89">
        <v>12</v>
      </c>
      <c r="AN60" s="89">
        <v>11</v>
      </c>
      <c r="AO60" s="70">
        <f t="shared" si="256"/>
        <v>-1</v>
      </c>
      <c r="AP60" s="78"/>
      <c r="AQ60" s="89">
        <v>10</v>
      </c>
      <c r="AR60" s="71">
        <f t="shared" si="258"/>
        <v>-2</v>
      </c>
      <c r="AS60" s="59"/>
      <c r="AT60" s="90">
        <v>0.15490195998574319</v>
      </c>
      <c r="AU60" s="73"/>
      <c r="AV60" s="91">
        <v>-7.9181246047624804E-2</v>
      </c>
      <c r="AW60" s="91">
        <v>-7.9181246047624804E-2</v>
      </c>
      <c r="AX60" s="75">
        <f t="shared" si="260"/>
        <v>0</v>
      </c>
      <c r="AY60" s="59"/>
      <c r="AZ60" s="91">
        <v>-7.9181246047624804E-2</v>
      </c>
      <c r="BA60" s="75">
        <f t="shared" si="262"/>
        <v>0</v>
      </c>
      <c r="BB60" s="59"/>
      <c r="BC60" s="92">
        <v>4.5757490560675143E-2</v>
      </c>
      <c r="BD60" s="92">
        <v>0</v>
      </c>
      <c r="BE60" s="71">
        <f t="shared" si="264"/>
        <v>-4.5757490560675143E-2</v>
      </c>
      <c r="BF60" s="78"/>
      <c r="BG60" s="92">
        <v>0</v>
      </c>
      <c r="BH60" s="71">
        <f t="shared" si="266"/>
        <v>-4.5757490560675143E-2</v>
      </c>
      <c r="BI60" s="78"/>
      <c r="BJ60" s="93"/>
      <c r="BK60" s="94"/>
    </row>
    <row r="61" spans="1:63" ht="15" customHeight="1">
      <c r="A61" s="95">
        <v>29</v>
      </c>
      <c r="B61" s="82" t="s">
        <v>29</v>
      </c>
      <c r="C61" s="105">
        <v>11.09041095890411</v>
      </c>
      <c r="D61" s="106" t="s">
        <v>1</v>
      </c>
      <c r="E61" s="107">
        <v>-2.25</v>
      </c>
      <c r="F61" s="59">
        <f t="shared" si="0"/>
        <v>-2.25</v>
      </c>
      <c r="G61" s="277">
        <v>42482</v>
      </c>
      <c r="H61" s="140" t="s">
        <v>9</v>
      </c>
      <c r="I61" s="109">
        <v>24.32</v>
      </c>
      <c r="J61" s="56">
        <f t="shared" si="1"/>
        <v>24.285</v>
      </c>
      <c r="K61" s="110">
        <v>24.42</v>
      </c>
      <c r="L61" s="58">
        <f t="shared" ref="L61:L64" si="433">K61-I61</f>
        <v>0.10000000000000142</v>
      </c>
      <c r="M61" s="59">
        <f t="shared" ref="M61" si="434">AVERAGE(L61:L62)</f>
        <v>6.5000000000001279E-2</v>
      </c>
      <c r="N61" s="110">
        <v>24.45</v>
      </c>
      <c r="O61" s="60">
        <f t="shared" ref="O61:O64" si="435">N61-K61</f>
        <v>2.9999999999997584E-2</v>
      </c>
      <c r="P61" s="56">
        <f t="shared" ref="P61" si="436">AVERAGE(O61:O62)</f>
        <v>3.9999999999997371E-2</v>
      </c>
      <c r="Q61" s="110">
        <v>24.55</v>
      </c>
      <c r="R61" s="61">
        <f t="shared" ref="R61:R64" si="437">Q61-K61</f>
        <v>0.12999999999999901</v>
      </c>
      <c r="S61" s="59">
        <f t="shared" ref="S61" si="438">AVERAGE(R61:R62)</f>
        <v>0.12499999999999822</v>
      </c>
      <c r="T61" s="110">
        <v>24.67</v>
      </c>
      <c r="U61" s="60">
        <f t="shared" si="247"/>
        <v>0.25</v>
      </c>
      <c r="V61" s="56">
        <f t="shared" ref="V61" si="439">AVERAGE(U61:U62)</f>
        <v>0.23499999999999943</v>
      </c>
      <c r="W61" s="110">
        <v>24.76</v>
      </c>
      <c r="X61" s="61">
        <f t="shared" si="248"/>
        <v>0.33999999999999986</v>
      </c>
      <c r="Y61" s="59">
        <f t="shared" ref="Y61" si="440">AVERAGE(X61:X62)</f>
        <v>0.30499999999999972</v>
      </c>
      <c r="Z61" s="61">
        <f t="shared" si="250"/>
        <v>0.21000000000000085</v>
      </c>
      <c r="AA61" s="59">
        <f t="shared" ref="AA61" si="441">AVERAGE(Z61:Z62)</f>
        <v>0.18000000000000149</v>
      </c>
      <c r="AB61" s="111">
        <v>3420</v>
      </c>
      <c r="AC61" s="99">
        <f t="shared" si="163"/>
        <v>3303.5</v>
      </c>
      <c r="AD61" s="112">
        <v>3175</v>
      </c>
      <c r="AE61" s="112">
        <v>3369</v>
      </c>
      <c r="AF61" s="71">
        <f t="shared" si="252"/>
        <v>194</v>
      </c>
      <c r="AG61" s="78">
        <f t="shared" ref="AG61" si="442">AVERAGE(AF61:AF62)</f>
        <v>80</v>
      </c>
      <c r="AH61" s="112">
        <v>3342</v>
      </c>
      <c r="AI61" s="71">
        <f t="shared" si="254"/>
        <v>167</v>
      </c>
      <c r="AJ61" s="78">
        <f t="shared" ref="AJ61" si="443">AVERAGE(AI61:AI62)</f>
        <v>69.5</v>
      </c>
      <c r="AK61" s="113">
        <v>14</v>
      </c>
      <c r="AL61" s="78">
        <f t="shared" si="151"/>
        <v>15.5</v>
      </c>
      <c r="AM61" s="114">
        <v>12</v>
      </c>
      <c r="AN61" s="114">
        <v>11</v>
      </c>
      <c r="AO61" s="70">
        <f t="shared" si="256"/>
        <v>-1</v>
      </c>
      <c r="AP61" s="78">
        <f t="shared" ref="AP61" si="444">AVERAGE(AO61:AO62)</f>
        <v>-2</v>
      </c>
      <c r="AQ61" s="114">
        <v>12</v>
      </c>
      <c r="AR61" s="71">
        <f t="shared" si="258"/>
        <v>0</v>
      </c>
      <c r="AS61" s="59">
        <f t="shared" ref="AS61" si="445">AVERAGE(AR61:AR62)</f>
        <v>2.5</v>
      </c>
      <c r="AT61" s="90">
        <v>1</v>
      </c>
      <c r="AU61" s="73">
        <v>1</v>
      </c>
      <c r="AV61" s="91">
        <v>-7.9181246047624804E-2</v>
      </c>
      <c r="AW61" s="91">
        <v>-7.9181246047624804E-2</v>
      </c>
      <c r="AX61" s="75">
        <f t="shared" si="260"/>
        <v>0</v>
      </c>
      <c r="AY61" s="59">
        <f t="shared" ref="AY61" si="446">AVERAGE(AX61:AX62)</f>
        <v>-3.9590623023812402E-2</v>
      </c>
      <c r="AZ61" s="91">
        <v>4.5757490560675143E-2</v>
      </c>
      <c r="BA61" s="75">
        <f t="shared" si="262"/>
        <v>0.12493873660829995</v>
      </c>
      <c r="BB61" s="98">
        <f t="shared" ref="BB61" si="447">AVERAGE(BA61:BA62)</f>
        <v>0.13992034829702157</v>
      </c>
      <c r="BC61" s="92">
        <v>0</v>
      </c>
      <c r="BD61" s="92">
        <v>0</v>
      </c>
      <c r="BE61" s="71">
        <f t="shared" si="264"/>
        <v>0</v>
      </c>
      <c r="BF61" s="78">
        <f t="shared" ref="BF61" si="448">AVERAGE(BE61:BE62)</f>
        <v>0</v>
      </c>
      <c r="BG61" s="92">
        <v>0</v>
      </c>
      <c r="BH61" s="71">
        <f t="shared" si="266"/>
        <v>0</v>
      </c>
      <c r="BI61" s="98">
        <f t="shared" ref="BI61" si="449">AVERAGE(BH61:BH62)</f>
        <v>-3.9590623023812402E-2</v>
      </c>
      <c r="BJ61" s="93">
        <v>100</v>
      </c>
      <c r="BK61" s="94">
        <v>91</v>
      </c>
    </row>
    <row r="62" spans="1:63" ht="15" customHeight="1">
      <c r="A62" s="81"/>
      <c r="B62" s="82"/>
      <c r="C62" s="115"/>
      <c r="D62" s="84"/>
      <c r="E62" s="107">
        <v>-2.25</v>
      </c>
      <c r="F62" s="59"/>
      <c r="G62" s="278"/>
      <c r="H62" s="140" t="s">
        <v>10</v>
      </c>
      <c r="I62" s="109">
        <v>24.25</v>
      </c>
      <c r="J62" s="56"/>
      <c r="K62" s="110">
        <v>24.28</v>
      </c>
      <c r="L62" s="58">
        <f t="shared" si="433"/>
        <v>3.0000000000001137E-2</v>
      </c>
      <c r="M62" s="59"/>
      <c r="N62" s="110">
        <v>24.33</v>
      </c>
      <c r="O62" s="60">
        <f t="shared" si="435"/>
        <v>4.9999999999997158E-2</v>
      </c>
      <c r="P62" s="56"/>
      <c r="Q62" s="110">
        <v>24.4</v>
      </c>
      <c r="R62" s="61">
        <f t="shared" si="437"/>
        <v>0.11999999999999744</v>
      </c>
      <c r="S62" s="59"/>
      <c r="T62" s="110">
        <v>24.5</v>
      </c>
      <c r="U62" s="60">
        <f t="shared" si="247"/>
        <v>0.21999999999999886</v>
      </c>
      <c r="V62" s="56"/>
      <c r="W62" s="110">
        <v>24.55</v>
      </c>
      <c r="X62" s="61">
        <f t="shared" si="248"/>
        <v>0.26999999999999957</v>
      </c>
      <c r="Y62" s="59"/>
      <c r="Z62" s="61">
        <f t="shared" si="250"/>
        <v>0.15000000000000213</v>
      </c>
      <c r="AA62" s="59"/>
      <c r="AB62" s="111">
        <v>3187</v>
      </c>
      <c r="AC62" s="66"/>
      <c r="AD62" s="112">
        <v>3176</v>
      </c>
      <c r="AE62" s="112">
        <v>3142</v>
      </c>
      <c r="AF62" s="71">
        <f t="shared" si="252"/>
        <v>-34</v>
      </c>
      <c r="AG62" s="78"/>
      <c r="AH62" s="112">
        <v>3148</v>
      </c>
      <c r="AI62" s="71">
        <f t="shared" si="254"/>
        <v>-28</v>
      </c>
      <c r="AJ62" s="78"/>
      <c r="AK62" s="113">
        <v>17</v>
      </c>
      <c r="AL62" s="78"/>
      <c r="AM62" s="114">
        <v>13</v>
      </c>
      <c r="AN62" s="114">
        <v>10</v>
      </c>
      <c r="AO62" s="70">
        <f t="shared" si="256"/>
        <v>-3</v>
      </c>
      <c r="AP62" s="78"/>
      <c r="AQ62" s="114">
        <v>18</v>
      </c>
      <c r="AR62" s="71">
        <f t="shared" si="258"/>
        <v>5</v>
      </c>
      <c r="AS62" s="59"/>
      <c r="AT62" s="90">
        <v>1</v>
      </c>
      <c r="AU62" s="73"/>
      <c r="AV62" s="91">
        <v>0</v>
      </c>
      <c r="AW62" s="91">
        <v>-7.9181246047624804E-2</v>
      </c>
      <c r="AX62" s="75">
        <f t="shared" si="260"/>
        <v>-7.9181246047624804E-2</v>
      </c>
      <c r="AY62" s="59"/>
      <c r="AZ62" s="91">
        <v>0.15490195998574319</v>
      </c>
      <c r="BA62" s="75">
        <f t="shared" si="262"/>
        <v>0.15490195998574319</v>
      </c>
      <c r="BB62" s="100"/>
      <c r="BC62" s="92">
        <v>0</v>
      </c>
      <c r="BD62" s="92">
        <v>0</v>
      </c>
      <c r="BE62" s="71">
        <f t="shared" si="264"/>
        <v>0</v>
      </c>
      <c r="BF62" s="78"/>
      <c r="BG62" s="92">
        <v>-7.9181246047624804E-2</v>
      </c>
      <c r="BH62" s="71">
        <f t="shared" si="266"/>
        <v>-7.9181246047624804E-2</v>
      </c>
      <c r="BI62" s="100"/>
      <c r="BJ62" s="93"/>
      <c r="BK62" s="94"/>
    </row>
    <row r="63" spans="1:63" ht="15" customHeight="1">
      <c r="A63" s="95">
        <v>30</v>
      </c>
      <c r="B63" s="82" t="s">
        <v>29</v>
      </c>
      <c r="C63" s="105">
        <v>12.043835616438356</v>
      </c>
      <c r="D63" s="106" t="s">
        <v>1</v>
      </c>
      <c r="E63" s="107">
        <v>-1.5</v>
      </c>
      <c r="F63" s="59">
        <f t="shared" si="0"/>
        <v>-1.5</v>
      </c>
      <c r="G63" s="277">
        <v>42706</v>
      </c>
      <c r="H63" s="140" t="s">
        <v>9</v>
      </c>
      <c r="I63" s="109">
        <v>24.6</v>
      </c>
      <c r="J63" s="56">
        <f t="shared" si="1"/>
        <v>24.64</v>
      </c>
      <c r="K63" s="110">
        <v>24.6</v>
      </c>
      <c r="L63" s="58">
        <f t="shared" si="433"/>
        <v>0</v>
      </c>
      <c r="M63" s="59">
        <f t="shared" ref="M63" si="450">AVERAGE(L63:L64)</f>
        <v>3.5000000000000142E-2</v>
      </c>
      <c r="N63" s="110">
        <v>24.65</v>
      </c>
      <c r="O63" s="60">
        <f t="shared" si="435"/>
        <v>4.9999999999997158E-2</v>
      </c>
      <c r="P63" s="56">
        <f t="shared" ref="P63" si="451">AVERAGE(O63:O64)</f>
        <v>3.4999999999998366E-2</v>
      </c>
      <c r="Q63" s="110">
        <v>24.73</v>
      </c>
      <c r="R63" s="61">
        <f t="shared" si="437"/>
        <v>0.12999999999999901</v>
      </c>
      <c r="S63" s="59">
        <f t="shared" ref="S63" si="452">AVERAGE(R63:R64)</f>
        <v>9.9999999999999645E-2</v>
      </c>
      <c r="T63" s="110">
        <v>24.74</v>
      </c>
      <c r="U63" s="60">
        <f t="shared" si="247"/>
        <v>0.13999999999999702</v>
      </c>
      <c r="V63" s="56">
        <f t="shared" ref="V63" si="453">AVERAGE(U63:U64)</f>
        <v>9.4999999999998863E-2</v>
      </c>
      <c r="W63" s="110">
        <v>24.81</v>
      </c>
      <c r="X63" s="61">
        <f t="shared" si="248"/>
        <v>0.2099999999999973</v>
      </c>
      <c r="Y63" s="59">
        <f t="shared" ref="Y63" si="454">AVERAGE(X63:X64)</f>
        <v>0.17499999999999893</v>
      </c>
      <c r="Z63" s="61">
        <f t="shared" si="250"/>
        <v>7.9999999999998295E-2</v>
      </c>
      <c r="AA63" s="59">
        <f t="shared" ref="AA63" si="455">AVERAGE(Z63:Z64)</f>
        <v>7.4999999999999289E-2</v>
      </c>
      <c r="AB63" s="111">
        <v>3364</v>
      </c>
      <c r="AC63" s="99">
        <f t="shared" si="163"/>
        <v>3233</v>
      </c>
      <c r="AD63" s="112">
        <v>3293</v>
      </c>
      <c r="AE63" s="112">
        <v>3152</v>
      </c>
      <c r="AF63" s="71">
        <f t="shared" si="252"/>
        <v>-141</v>
      </c>
      <c r="AG63" s="78">
        <f t="shared" ref="AG63" si="456">AVERAGE(AF63:AF64)</f>
        <v>-146.5</v>
      </c>
      <c r="AH63" s="112">
        <v>2994</v>
      </c>
      <c r="AI63" s="71">
        <f t="shared" si="254"/>
        <v>-299</v>
      </c>
      <c r="AJ63" s="78">
        <f t="shared" ref="AJ63" si="457">AVERAGE(AI63:AI64)</f>
        <v>-127.5</v>
      </c>
      <c r="AK63" s="113">
        <v>16</v>
      </c>
      <c r="AL63" s="78">
        <f t="shared" si="151"/>
        <v>16</v>
      </c>
      <c r="AM63" s="114">
        <v>16</v>
      </c>
      <c r="AN63" s="114">
        <v>16</v>
      </c>
      <c r="AO63" s="70">
        <f t="shared" si="256"/>
        <v>0</v>
      </c>
      <c r="AP63" s="78">
        <f t="shared" ref="AP63" si="458">AVERAGE(AO63:AO64)</f>
        <v>-2</v>
      </c>
      <c r="AQ63" s="114">
        <v>13</v>
      </c>
      <c r="AR63" s="71">
        <f t="shared" si="258"/>
        <v>-3</v>
      </c>
      <c r="AS63" s="59">
        <f t="shared" ref="AS63" si="459">AVERAGE(AR63:AR64)</f>
        <v>-2.5</v>
      </c>
      <c r="AT63" s="90">
        <v>0.82390874094431876</v>
      </c>
      <c r="AU63" s="73">
        <v>0.91195437047215933</v>
      </c>
      <c r="AV63" s="91">
        <v>-7.9181246047624804E-2</v>
      </c>
      <c r="AW63" s="91">
        <v>-7.9181246047624804E-2</v>
      </c>
      <c r="AX63" s="75">
        <f t="shared" si="260"/>
        <v>0</v>
      </c>
      <c r="AY63" s="59">
        <f t="shared" ref="AY63" si="460">AVERAGE(AX63:AX64)</f>
        <v>0</v>
      </c>
      <c r="AZ63" s="91">
        <v>-7.9181246047624804E-2</v>
      </c>
      <c r="BA63" s="75">
        <f t="shared" si="262"/>
        <v>0</v>
      </c>
      <c r="BB63" s="98">
        <f t="shared" ref="BB63" si="461">AVERAGE(BA63:BA64)</f>
        <v>0</v>
      </c>
      <c r="BC63" s="92">
        <v>-7.9181246047624804E-2</v>
      </c>
      <c r="BD63" s="92">
        <v>-7.9181246047624804E-2</v>
      </c>
      <c r="BE63" s="71">
        <f t="shared" si="264"/>
        <v>0</v>
      </c>
      <c r="BF63" s="78">
        <f t="shared" ref="BF63" si="462">AVERAGE(BE63:BE64)</f>
        <v>-3.9590623023812402E-2</v>
      </c>
      <c r="BG63" s="92">
        <v>0</v>
      </c>
      <c r="BH63" s="71">
        <f t="shared" si="266"/>
        <v>7.9181246047624804E-2</v>
      </c>
      <c r="BI63" s="98">
        <f t="shared" ref="BI63" si="463">AVERAGE(BH63:BH64)</f>
        <v>8.8045629527840619E-2</v>
      </c>
      <c r="BJ63" s="93">
        <v>100</v>
      </c>
      <c r="BK63" s="94">
        <v>100</v>
      </c>
    </row>
    <row r="64" spans="1:63" ht="15" customHeight="1">
      <c r="A64" s="81"/>
      <c r="B64" s="82"/>
      <c r="C64" s="115"/>
      <c r="D64" s="84"/>
      <c r="E64" s="107">
        <v>-1.5</v>
      </c>
      <c r="F64" s="59"/>
      <c r="G64" s="278"/>
      <c r="H64" s="140" t="s">
        <v>10</v>
      </c>
      <c r="I64" s="109">
        <v>24.68</v>
      </c>
      <c r="J64" s="56"/>
      <c r="K64" s="110">
        <v>24.75</v>
      </c>
      <c r="L64" s="58">
        <f t="shared" si="433"/>
        <v>7.0000000000000284E-2</v>
      </c>
      <c r="M64" s="59"/>
      <c r="N64" s="110">
        <v>24.77</v>
      </c>
      <c r="O64" s="60">
        <f t="shared" si="435"/>
        <v>1.9999999999999574E-2</v>
      </c>
      <c r="P64" s="56"/>
      <c r="Q64" s="110">
        <v>24.82</v>
      </c>
      <c r="R64" s="61">
        <f t="shared" si="437"/>
        <v>7.0000000000000284E-2</v>
      </c>
      <c r="S64" s="59"/>
      <c r="T64" s="110">
        <v>24.8</v>
      </c>
      <c r="U64" s="60">
        <f t="shared" si="247"/>
        <v>5.0000000000000711E-2</v>
      </c>
      <c r="V64" s="56"/>
      <c r="W64" s="110">
        <v>24.89</v>
      </c>
      <c r="X64" s="61">
        <f t="shared" si="248"/>
        <v>0.14000000000000057</v>
      </c>
      <c r="Y64" s="59"/>
      <c r="Z64" s="61">
        <f t="shared" si="250"/>
        <v>7.0000000000000284E-2</v>
      </c>
      <c r="AA64" s="59"/>
      <c r="AB64" s="111">
        <v>3102</v>
      </c>
      <c r="AC64" s="66"/>
      <c r="AD64" s="112">
        <v>3168</v>
      </c>
      <c r="AE64" s="112">
        <v>3016</v>
      </c>
      <c r="AF64" s="71">
        <f t="shared" si="252"/>
        <v>-152</v>
      </c>
      <c r="AG64" s="78"/>
      <c r="AH64" s="112">
        <v>3212</v>
      </c>
      <c r="AI64" s="71">
        <f t="shared" si="254"/>
        <v>44</v>
      </c>
      <c r="AJ64" s="78"/>
      <c r="AK64" s="113">
        <v>16</v>
      </c>
      <c r="AL64" s="78"/>
      <c r="AM64" s="114">
        <v>19</v>
      </c>
      <c r="AN64" s="114">
        <v>15</v>
      </c>
      <c r="AO64" s="70">
        <f t="shared" si="256"/>
        <v>-4</v>
      </c>
      <c r="AP64" s="78"/>
      <c r="AQ64" s="114">
        <v>17</v>
      </c>
      <c r="AR64" s="71">
        <f t="shared" si="258"/>
        <v>-2</v>
      </c>
      <c r="AS64" s="59"/>
      <c r="AT64" s="90">
        <v>1</v>
      </c>
      <c r="AU64" s="73"/>
      <c r="AV64" s="91">
        <v>-7.9181246047624804E-2</v>
      </c>
      <c r="AW64" s="91">
        <v>-7.9181246047624804E-2</v>
      </c>
      <c r="AX64" s="75">
        <f t="shared" si="260"/>
        <v>0</v>
      </c>
      <c r="AY64" s="59"/>
      <c r="AZ64" s="91">
        <v>-7.9181246047624804E-2</v>
      </c>
      <c r="BA64" s="75">
        <f t="shared" si="262"/>
        <v>0</v>
      </c>
      <c r="BB64" s="100"/>
      <c r="BC64" s="92">
        <v>0</v>
      </c>
      <c r="BD64" s="92">
        <v>-7.9181246047624804E-2</v>
      </c>
      <c r="BE64" s="71">
        <f t="shared" si="264"/>
        <v>-7.9181246047624804E-2</v>
      </c>
      <c r="BF64" s="78"/>
      <c r="BG64" s="92">
        <v>9.691001300805642E-2</v>
      </c>
      <c r="BH64" s="71">
        <f t="shared" si="266"/>
        <v>9.691001300805642E-2</v>
      </c>
      <c r="BI64" s="100"/>
      <c r="BJ64" s="93"/>
      <c r="BK64" s="94"/>
    </row>
    <row r="65" spans="1:63" ht="15" customHeight="1">
      <c r="A65" s="95">
        <v>31</v>
      </c>
      <c r="B65" s="82" t="s">
        <v>28</v>
      </c>
      <c r="C65" s="129">
        <v>12.241095890410959</v>
      </c>
      <c r="D65" s="97" t="s">
        <v>0</v>
      </c>
      <c r="E65" s="85">
        <v>-2.25</v>
      </c>
      <c r="F65" s="59">
        <f t="shared" si="0"/>
        <v>-2.25</v>
      </c>
      <c r="G65" s="272">
        <v>41859</v>
      </c>
      <c r="H65" s="139" t="s">
        <v>9</v>
      </c>
      <c r="I65" s="103">
        <v>24.94</v>
      </c>
      <c r="J65" s="56">
        <f t="shared" si="1"/>
        <v>24.844999999999999</v>
      </c>
      <c r="K65" s="104">
        <v>24.91</v>
      </c>
      <c r="L65" s="58">
        <f t="shared" si="27"/>
        <v>-3.0000000000001137E-2</v>
      </c>
      <c r="M65" s="59">
        <f t="shared" ref="M65" si="464">AVERAGE(L65:L66)</f>
        <v>-3.5000000000000142E-2</v>
      </c>
      <c r="N65" s="104">
        <v>24.84</v>
      </c>
      <c r="O65" s="60">
        <f t="shared" si="28"/>
        <v>-7.0000000000000284E-2</v>
      </c>
      <c r="P65" s="56">
        <f t="shared" ref="P65" si="465">AVERAGE(O65:O66)</f>
        <v>-6.0000000000000497E-2</v>
      </c>
      <c r="Q65" s="104">
        <v>24.95</v>
      </c>
      <c r="R65" s="61">
        <f t="shared" si="29"/>
        <v>3.9999999999999147E-2</v>
      </c>
      <c r="S65" s="59">
        <f t="shared" ref="S65" si="466">AVERAGE(R65:R66)</f>
        <v>2.9999999999999361E-2</v>
      </c>
      <c r="T65" s="104">
        <v>25.01</v>
      </c>
      <c r="U65" s="60">
        <f t="shared" si="247"/>
        <v>0.10000000000000142</v>
      </c>
      <c r="V65" s="56">
        <f t="shared" si="6"/>
        <v>8.9999999999999858E-2</v>
      </c>
      <c r="W65" s="104">
        <v>25.06</v>
      </c>
      <c r="X65" s="61">
        <f t="shared" si="248"/>
        <v>0.14999999999999858</v>
      </c>
      <c r="Y65" s="59">
        <f t="shared" ref="Y65" si="467">AVERAGE(X65:X66)</f>
        <v>0.13499999999999801</v>
      </c>
      <c r="Z65" s="61">
        <f t="shared" si="250"/>
        <v>0.10999999999999943</v>
      </c>
      <c r="AA65" s="59">
        <f t="shared" ref="AA65" si="468">AVERAGE(Z65:Z66)</f>
        <v>0.10499999999999865</v>
      </c>
      <c r="AB65" s="71">
        <v>3412</v>
      </c>
      <c r="AC65" s="99">
        <f t="shared" si="163"/>
        <v>3308.5</v>
      </c>
      <c r="AD65" s="87">
        <v>3773</v>
      </c>
      <c r="AE65" s="87">
        <v>3436</v>
      </c>
      <c r="AF65" s="71">
        <f t="shared" si="252"/>
        <v>-337</v>
      </c>
      <c r="AG65" s="78">
        <f t="shared" ref="AG65" si="469">AVERAGE(AF65:AF66)</f>
        <v>-175</v>
      </c>
      <c r="AH65" s="87">
        <v>3508</v>
      </c>
      <c r="AI65" s="71">
        <f t="shared" si="254"/>
        <v>-265</v>
      </c>
      <c r="AJ65" s="78">
        <f t="shared" ref="AJ65" si="470">AVERAGE(AI65:AI66)</f>
        <v>46.5</v>
      </c>
      <c r="AK65" s="88">
        <v>20</v>
      </c>
      <c r="AL65" s="78">
        <f t="shared" si="151"/>
        <v>19</v>
      </c>
      <c r="AM65" s="89">
        <v>18.5</v>
      </c>
      <c r="AN65" s="89">
        <v>18</v>
      </c>
      <c r="AO65" s="70">
        <f t="shared" si="256"/>
        <v>-0.5</v>
      </c>
      <c r="AP65" s="78">
        <f t="shared" ref="AP65" si="471">AVERAGE(AO65:AO66)</f>
        <v>0.75</v>
      </c>
      <c r="AQ65" s="89">
        <v>14.3</v>
      </c>
      <c r="AR65" s="71">
        <f t="shared" si="258"/>
        <v>-4.1999999999999993</v>
      </c>
      <c r="AS65" s="59">
        <f t="shared" ref="AS65" si="472">AVERAGE(AR65:AR66)</f>
        <v>-2.8499999999999996</v>
      </c>
      <c r="AT65" s="90">
        <v>0.52287874528033762</v>
      </c>
      <c r="AU65" s="73">
        <v>0.52287874528033762</v>
      </c>
      <c r="AV65" s="91">
        <v>-7.9181246047624804E-2</v>
      </c>
      <c r="AW65" s="91">
        <v>0</v>
      </c>
      <c r="AX65" s="75">
        <f t="shared" si="260"/>
        <v>7.9181246047624804E-2</v>
      </c>
      <c r="AY65" s="59">
        <f t="shared" ref="AY65" si="473">AVERAGE(AX65:AX66)</f>
        <v>3.9590623023812402E-2</v>
      </c>
      <c r="AZ65" s="91">
        <v>-7.9181246047624804E-2</v>
      </c>
      <c r="BA65" s="75">
        <f t="shared" si="262"/>
        <v>0</v>
      </c>
      <c r="BB65" s="59">
        <f t="shared" ref="BB65" si="474">AVERAGE(BA65:BA66)</f>
        <v>0</v>
      </c>
      <c r="BC65" s="92">
        <v>-7.9181246047624804E-2</v>
      </c>
      <c r="BD65" s="92">
        <v>0</v>
      </c>
      <c r="BE65" s="71">
        <f t="shared" si="264"/>
        <v>7.9181246047624804E-2</v>
      </c>
      <c r="BF65" s="78">
        <f t="shared" ref="BF65" si="475">AVERAGE(BE65:BE66)</f>
        <v>7.9181246047624804E-2</v>
      </c>
      <c r="BG65" s="92">
        <v>-7.9181246047624804E-2</v>
      </c>
      <c r="BH65" s="71">
        <f t="shared" si="266"/>
        <v>0</v>
      </c>
      <c r="BI65" s="78">
        <f t="shared" ref="BI65" si="476">AVERAGE(BH65:BH66)</f>
        <v>0</v>
      </c>
      <c r="BJ65" s="93">
        <v>98</v>
      </c>
      <c r="BK65" s="94">
        <v>98</v>
      </c>
    </row>
    <row r="66" spans="1:63" ht="15" customHeight="1">
      <c r="A66" s="81"/>
      <c r="B66" s="82"/>
      <c r="C66" s="102"/>
      <c r="D66" s="84"/>
      <c r="E66" s="85">
        <v>-2.25</v>
      </c>
      <c r="F66" s="59"/>
      <c r="G66" s="271"/>
      <c r="H66" s="54" t="s">
        <v>10</v>
      </c>
      <c r="I66" s="55">
        <v>24.75</v>
      </c>
      <c r="J66" s="56"/>
      <c r="K66" s="86">
        <v>24.71</v>
      </c>
      <c r="L66" s="58">
        <f t="shared" si="27"/>
        <v>-3.9999999999999147E-2</v>
      </c>
      <c r="M66" s="59"/>
      <c r="N66" s="86">
        <v>24.66</v>
      </c>
      <c r="O66" s="60">
        <f t="shared" si="28"/>
        <v>-5.0000000000000711E-2</v>
      </c>
      <c r="P66" s="56"/>
      <c r="Q66" s="86">
        <v>24.73</v>
      </c>
      <c r="R66" s="61">
        <f t="shared" si="29"/>
        <v>1.9999999999999574E-2</v>
      </c>
      <c r="S66" s="59"/>
      <c r="T66" s="86">
        <v>24.79</v>
      </c>
      <c r="U66" s="60">
        <f t="shared" si="247"/>
        <v>7.9999999999998295E-2</v>
      </c>
      <c r="V66" s="56"/>
      <c r="W66" s="86">
        <v>24.83</v>
      </c>
      <c r="X66" s="61">
        <f t="shared" si="248"/>
        <v>0.11999999999999744</v>
      </c>
      <c r="Y66" s="59"/>
      <c r="Z66" s="61">
        <f t="shared" si="250"/>
        <v>9.9999999999997868E-2</v>
      </c>
      <c r="AA66" s="59"/>
      <c r="AB66" s="71">
        <v>3205</v>
      </c>
      <c r="AC66" s="66"/>
      <c r="AD66" s="87">
        <v>3610</v>
      </c>
      <c r="AE66" s="87">
        <v>3597</v>
      </c>
      <c r="AF66" s="71">
        <f t="shared" si="252"/>
        <v>-13</v>
      </c>
      <c r="AG66" s="78"/>
      <c r="AH66" s="87">
        <v>3968</v>
      </c>
      <c r="AI66" s="71">
        <f t="shared" si="254"/>
        <v>358</v>
      </c>
      <c r="AJ66" s="78"/>
      <c r="AK66" s="88">
        <v>18</v>
      </c>
      <c r="AL66" s="78"/>
      <c r="AM66" s="89">
        <v>15.5</v>
      </c>
      <c r="AN66" s="89">
        <v>17.5</v>
      </c>
      <c r="AO66" s="70">
        <f t="shared" si="256"/>
        <v>2</v>
      </c>
      <c r="AP66" s="78"/>
      <c r="AQ66" s="89">
        <v>14</v>
      </c>
      <c r="AR66" s="71">
        <f t="shared" si="258"/>
        <v>-1.5</v>
      </c>
      <c r="AS66" s="59"/>
      <c r="AT66" s="90">
        <v>0.52287874528033762</v>
      </c>
      <c r="AU66" s="73"/>
      <c r="AV66" s="91">
        <v>-7.9181246047624804E-2</v>
      </c>
      <c r="AW66" s="91">
        <v>-7.9181246047624804E-2</v>
      </c>
      <c r="AX66" s="75">
        <f t="shared" si="260"/>
        <v>0</v>
      </c>
      <c r="AY66" s="59"/>
      <c r="AZ66" s="91">
        <v>-7.9181246047624804E-2</v>
      </c>
      <c r="BA66" s="75">
        <f t="shared" si="262"/>
        <v>0</v>
      </c>
      <c r="BB66" s="59"/>
      <c r="BC66" s="92">
        <v>-7.9181246047624804E-2</v>
      </c>
      <c r="BD66" s="92">
        <v>0</v>
      </c>
      <c r="BE66" s="71">
        <f t="shared" si="264"/>
        <v>7.9181246047624804E-2</v>
      </c>
      <c r="BF66" s="78"/>
      <c r="BG66" s="92">
        <v>-7.9181246047624804E-2</v>
      </c>
      <c r="BH66" s="71">
        <f t="shared" si="266"/>
        <v>0</v>
      </c>
      <c r="BI66" s="78"/>
      <c r="BJ66" s="93"/>
      <c r="BK66" s="94"/>
    </row>
    <row r="67" spans="1:63" ht="15" customHeight="1">
      <c r="A67" s="95">
        <v>32</v>
      </c>
      <c r="B67" s="82" t="s">
        <v>28</v>
      </c>
      <c r="C67" s="101">
        <v>12.931506849315069</v>
      </c>
      <c r="D67" s="97" t="s">
        <v>1</v>
      </c>
      <c r="E67" s="85">
        <v>-5.5</v>
      </c>
      <c r="F67" s="59">
        <f t="shared" si="0"/>
        <v>-5.5</v>
      </c>
      <c r="G67" s="272">
        <v>42147</v>
      </c>
      <c r="H67" s="54" t="s">
        <v>9</v>
      </c>
      <c r="I67" s="55">
        <v>25.2</v>
      </c>
      <c r="J67" s="56">
        <f t="shared" si="1"/>
        <v>25.185000000000002</v>
      </c>
      <c r="K67" s="86">
        <v>25.18</v>
      </c>
      <c r="L67" s="58">
        <f t="shared" si="27"/>
        <v>-1.9999999999999574E-2</v>
      </c>
      <c r="M67" s="59">
        <f t="shared" ref="M67" si="477">AVERAGE(L67:L68)</f>
        <v>-4.0000000000000924E-2</v>
      </c>
      <c r="N67" s="86">
        <v>25.2</v>
      </c>
      <c r="O67" s="60">
        <f t="shared" si="28"/>
        <v>1.9999999999999574E-2</v>
      </c>
      <c r="P67" s="56">
        <f t="shared" ref="P67" si="478">AVERAGE(O67:O68)</f>
        <v>2.5000000000000355E-2</v>
      </c>
      <c r="Q67" s="86">
        <v>25.27</v>
      </c>
      <c r="R67" s="61">
        <f t="shared" si="29"/>
        <v>8.9999999999999858E-2</v>
      </c>
      <c r="S67" s="59">
        <f t="shared" ref="S67" si="479">AVERAGE(R67:R68)</f>
        <v>7.5000000000001066E-2</v>
      </c>
      <c r="T67" s="86">
        <v>25.4</v>
      </c>
      <c r="U67" s="60">
        <f t="shared" si="247"/>
        <v>0.21999999999999886</v>
      </c>
      <c r="V67" s="56">
        <f t="shared" si="6"/>
        <v>0.19500000000000028</v>
      </c>
      <c r="W67" s="86">
        <v>25.45</v>
      </c>
      <c r="X67" s="61">
        <f t="shared" si="248"/>
        <v>0.26999999999999957</v>
      </c>
      <c r="Y67" s="59">
        <f t="shared" ref="Y67" si="480">AVERAGE(X67:X68)</f>
        <v>0.23000000000000043</v>
      </c>
      <c r="Z67" s="61">
        <f t="shared" si="250"/>
        <v>0.17999999999999972</v>
      </c>
      <c r="AA67" s="59">
        <f t="shared" ref="AA67" si="481">AVERAGE(Z67:Z68)</f>
        <v>0.15499999999999936</v>
      </c>
      <c r="AB67" s="71">
        <v>3105</v>
      </c>
      <c r="AC67" s="99">
        <f t="shared" si="163"/>
        <v>3144.5</v>
      </c>
      <c r="AD67" s="87">
        <v>3067</v>
      </c>
      <c r="AE67" s="87">
        <v>3267</v>
      </c>
      <c r="AF67" s="71">
        <f t="shared" si="252"/>
        <v>200</v>
      </c>
      <c r="AG67" s="78">
        <f t="shared" ref="AG67" si="482">AVERAGE(AF67:AF68)</f>
        <v>-7</v>
      </c>
      <c r="AH67" s="87">
        <v>3257</v>
      </c>
      <c r="AI67" s="71">
        <f t="shared" si="254"/>
        <v>190</v>
      </c>
      <c r="AJ67" s="78">
        <f t="shared" ref="AJ67" si="483">AVERAGE(AI67:AI68)</f>
        <v>-71.5</v>
      </c>
      <c r="AK67" s="88">
        <v>11.5</v>
      </c>
      <c r="AL67" s="78">
        <f t="shared" si="151"/>
        <v>11.5</v>
      </c>
      <c r="AM67" s="89">
        <v>11</v>
      </c>
      <c r="AN67" s="89">
        <v>10</v>
      </c>
      <c r="AO67" s="70">
        <f t="shared" si="256"/>
        <v>-1</v>
      </c>
      <c r="AP67" s="78">
        <f t="shared" ref="AP67" si="484">AVERAGE(AO67:AO68)</f>
        <v>0.5</v>
      </c>
      <c r="AQ67" s="89">
        <v>8.6999999999999993</v>
      </c>
      <c r="AR67" s="71">
        <f t="shared" si="258"/>
        <v>-2.3000000000000007</v>
      </c>
      <c r="AS67" s="59">
        <f t="shared" ref="AS67" si="485">AVERAGE(AR67:AR68)</f>
        <v>-1.3000000000000007</v>
      </c>
      <c r="AT67" s="90">
        <v>1.2218487496163564</v>
      </c>
      <c r="AU67" s="73">
        <v>1.2218487496163564</v>
      </c>
      <c r="AV67" s="91">
        <v>-7.9181246047624804E-2</v>
      </c>
      <c r="AW67" s="91">
        <v>-7.9181246047624804E-2</v>
      </c>
      <c r="AX67" s="75">
        <f t="shared" si="260"/>
        <v>0</v>
      </c>
      <c r="AY67" s="59">
        <f t="shared" ref="AY67" si="486">AVERAGE(AX67:AX68)</f>
        <v>0</v>
      </c>
      <c r="AZ67" s="91">
        <v>9.691001300805642E-2</v>
      </c>
      <c r="BA67" s="75">
        <f t="shared" si="262"/>
        <v>0.17609125905568124</v>
      </c>
      <c r="BB67" s="59">
        <f t="shared" ref="BB67" si="487">AVERAGE(BA67:BA68)</f>
        <v>0.2050872325445246</v>
      </c>
      <c r="BC67" s="92">
        <v>9.691001300805642E-2</v>
      </c>
      <c r="BD67" s="92">
        <v>-7.9181246047624804E-2</v>
      </c>
      <c r="BE67" s="71">
        <f t="shared" si="264"/>
        <v>-0.17609125905568124</v>
      </c>
      <c r="BF67" s="78">
        <f t="shared" ref="BF67" si="488">AVERAGE(BE67:BE68)</f>
        <v>-0.11362189075153126</v>
      </c>
      <c r="BG67" s="92">
        <v>0</v>
      </c>
      <c r="BH67" s="71">
        <f t="shared" si="266"/>
        <v>-9.691001300805642E-2</v>
      </c>
      <c r="BI67" s="78">
        <f t="shared" ref="BI67" si="489">AVERAGE(BH67:BH68)</f>
        <v>-9.691001300805642E-2</v>
      </c>
      <c r="BJ67" s="93">
        <v>93</v>
      </c>
      <c r="BK67" s="94">
        <v>91</v>
      </c>
    </row>
    <row r="68" spans="1:63" ht="15" customHeight="1">
      <c r="A68" s="81"/>
      <c r="B68" s="82"/>
      <c r="C68" s="102"/>
      <c r="D68" s="84"/>
      <c r="E68" s="85">
        <v>-5.5</v>
      </c>
      <c r="F68" s="59"/>
      <c r="G68" s="271"/>
      <c r="H68" s="54" t="s">
        <v>10</v>
      </c>
      <c r="I68" s="55">
        <v>25.17</v>
      </c>
      <c r="J68" s="56"/>
      <c r="K68" s="86">
        <v>25.11</v>
      </c>
      <c r="L68" s="58">
        <f t="shared" si="27"/>
        <v>-6.0000000000002274E-2</v>
      </c>
      <c r="M68" s="59"/>
      <c r="N68" s="86">
        <v>25.14</v>
      </c>
      <c r="O68" s="60">
        <f t="shared" si="28"/>
        <v>3.0000000000001137E-2</v>
      </c>
      <c r="P68" s="56"/>
      <c r="Q68" s="86">
        <v>25.17</v>
      </c>
      <c r="R68" s="61">
        <f t="shared" si="29"/>
        <v>6.0000000000002274E-2</v>
      </c>
      <c r="S68" s="59"/>
      <c r="T68" s="86">
        <v>25.28</v>
      </c>
      <c r="U68" s="60">
        <f t="shared" si="247"/>
        <v>0.17000000000000171</v>
      </c>
      <c r="V68" s="56"/>
      <c r="W68" s="86">
        <v>25.3</v>
      </c>
      <c r="X68" s="61">
        <f t="shared" si="248"/>
        <v>0.19000000000000128</v>
      </c>
      <c r="Y68" s="59"/>
      <c r="Z68" s="61">
        <f t="shared" si="250"/>
        <v>0.12999999999999901</v>
      </c>
      <c r="AA68" s="59"/>
      <c r="AB68" s="71">
        <v>3184</v>
      </c>
      <c r="AC68" s="66"/>
      <c r="AD68" s="87">
        <v>3558</v>
      </c>
      <c r="AE68" s="87">
        <v>3344</v>
      </c>
      <c r="AF68" s="71">
        <f t="shared" si="252"/>
        <v>-214</v>
      </c>
      <c r="AG68" s="78"/>
      <c r="AH68" s="87">
        <v>3225</v>
      </c>
      <c r="AI68" s="71">
        <f t="shared" si="254"/>
        <v>-333</v>
      </c>
      <c r="AJ68" s="78"/>
      <c r="AK68" s="88">
        <v>11.5</v>
      </c>
      <c r="AL68" s="78"/>
      <c r="AM68" s="89">
        <v>9</v>
      </c>
      <c r="AN68" s="89">
        <v>11</v>
      </c>
      <c r="AO68" s="70">
        <f t="shared" si="256"/>
        <v>2</v>
      </c>
      <c r="AP68" s="78"/>
      <c r="AQ68" s="89">
        <v>8.6999999999999993</v>
      </c>
      <c r="AR68" s="71">
        <f t="shared" si="258"/>
        <v>-0.30000000000000071</v>
      </c>
      <c r="AS68" s="59"/>
      <c r="AT68" s="90">
        <v>1.2218487496163564</v>
      </c>
      <c r="AU68" s="73"/>
      <c r="AV68" s="91">
        <v>-7.9181246047624804E-2</v>
      </c>
      <c r="AW68" s="91">
        <v>-7.9181246047624804E-2</v>
      </c>
      <c r="AX68" s="75">
        <f t="shared" si="260"/>
        <v>0</v>
      </c>
      <c r="AY68" s="59"/>
      <c r="AZ68" s="91">
        <v>0.15490195998574319</v>
      </c>
      <c r="BA68" s="75">
        <f t="shared" si="262"/>
        <v>0.23408320603336799</v>
      </c>
      <c r="BB68" s="59"/>
      <c r="BC68" s="92">
        <v>9.691001300805642E-2</v>
      </c>
      <c r="BD68" s="92">
        <v>4.5757490560675143E-2</v>
      </c>
      <c r="BE68" s="71">
        <f t="shared" si="264"/>
        <v>-5.1152522447381277E-2</v>
      </c>
      <c r="BF68" s="78"/>
      <c r="BG68" s="92">
        <v>0</v>
      </c>
      <c r="BH68" s="71">
        <f t="shared" si="266"/>
        <v>-9.691001300805642E-2</v>
      </c>
      <c r="BI68" s="78"/>
      <c r="BJ68" s="93"/>
      <c r="BK68" s="94"/>
    </row>
    <row r="69" spans="1:63" ht="15" customHeight="1">
      <c r="A69" s="95">
        <v>33</v>
      </c>
      <c r="B69" s="82" t="s">
        <v>28</v>
      </c>
      <c r="C69" s="101">
        <v>11.583561643835617</v>
      </c>
      <c r="D69" s="97" t="s">
        <v>0</v>
      </c>
      <c r="E69" s="85">
        <v>-3.5</v>
      </c>
      <c r="F69" s="59">
        <f t="shared" si="0"/>
        <v>-3.5</v>
      </c>
      <c r="G69" s="272">
        <v>42182</v>
      </c>
      <c r="H69" s="54" t="s">
        <v>9</v>
      </c>
      <c r="I69" s="55">
        <v>25.12</v>
      </c>
      <c r="J69" s="56">
        <f t="shared" si="1"/>
        <v>25.105</v>
      </c>
      <c r="K69" s="86">
        <v>25.08</v>
      </c>
      <c r="L69" s="58">
        <f t="shared" si="27"/>
        <v>-4.00000000000027E-2</v>
      </c>
      <c r="M69" s="59">
        <f t="shared" ref="M69" si="490">AVERAGE(L69:L70)</f>
        <v>-5.0000000000007816E-3</v>
      </c>
      <c r="N69" s="86">
        <v>25.15</v>
      </c>
      <c r="O69" s="60">
        <f t="shared" si="28"/>
        <v>7.0000000000000284E-2</v>
      </c>
      <c r="P69" s="56">
        <f t="shared" ref="P69" si="491">AVERAGE(O69:O70)</f>
        <v>5.4999999999999716E-2</v>
      </c>
      <c r="Q69" s="86">
        <v>25.26</v>
      </c>
      <c r="R69" s="61">
        <f t="shared" si="29"/>
        <v>0.18000000000000327</v>
      </c>
      <c r="S69" s="59">
        <f t="shared" ref="S69" si="492">AVERAGE(R69:R70)</f>
        <v>0.17000000000000171</v>
      </c>
      <c r="T69" s="86">
        <v>25.46</v>
      </c>
      <c r="U69" s="60">
        <f t="shared" ref="U69:U80" si="493">T69-K69</f>
        <v>0.38000000000000256</v>
      </c>
      <c r="V69" s="56">
        <f t="shared" si="6"/>
        <v>0.41500000000000092</v>
      </c>
      <c r="W69" s="86">
        <v>25.56</v>
      </c>
      <c r="X69" s="61">
        <f t="shared" ref="X69:X80" si="494">W69-K69</f>
        <v>0.48000000000000043</v>
      </c>
      <c r="Y69" s="59">
        <f t="shared" ref="Y69:Y71" si="495">AVERAGE(X69:X70)</f>
        <v>0.52999999999999936</v>
      </c>
      <c r="Z69" s="61">
        <f t="shared" ref="Z69:Z80" si="496">W69-Q69</f>
        <v>0.29999999999999716</v>
      </c>
      <c r="AA69" s="59">
        <f t="shared" ref="AA69" si="497">AVERAGE(Z69:Z70)</f>
        <v>0.35999999999999766</v>
      </c>
      <c r="AB69" s="71">
        <v>3333</v>
      </c>
      <c r="AC69" s="99">
        <f t="shared" si="163"/>
        <v>3408.5</v>
      </c>
      <c r="AD69" s="87">
        <v>3039</v>
      </c>
      <c r="AE69" s="87">
        <v>3225</v>
      </c>
      <c r="AF69" s="71">
        <f t="shared" ref="AF69:AF80" si="498">AE69-AD69</f>
        <v>186</v>
      </c>
      <c r="AG69" s="78">
        <f t="shared" ref="AG69" si="499">AVERAGE(AF69:AF70)</f>
        <v>204</v>
      </c>
      <c r="AH69" s="87">
        <v>3649</v>
      </c>
      <c r="AI69" s="71">
        <f t="shared" ref="AI69:AI80" si="500">AH69-AD69</f>
        <v>610</v>
      </c>
      <c r="AJ69" s="78">
        <f t="shared" ref="AJ69" si="501">AVERAGE(AI69:AI70)</f>
        <v>321.5</v>
      </c>
      <c r="AK69" s="88">
        <v>19.5</v>
      </c>
      <c r="AL69" s="78">
        <f t="shared" si="151"/>
        <v>19</v>
      </c>
      <c r="AM69" s="89">
        <v>18</v>
      </c>
      <c r="AN69" s="89">
        <v>15</v>
      </c>
      <c r="AO69" s="70">
        <f t="shared" ref="AO69:AO80" si="502">AN69-AM69</f>
        <v>-3</v>
      </c>
      <c r="AP69" s="78">
        <f t="shared" ref="AP69" si="503">AVERAGE(AO69:AO70)</f>
        <v>-1</v>
      </c>
      <c r="AQ69" s="89">
        <v>17</v>
      </c>
      <c r="AR69" s="71">
        <f t="shared" ref="AR69:AR80" si="504">AQ69-AM69</f>
        <v>-1</v>
      </c>
      <c r="AS69" s="59">
        <f t="shared" ref="AS69" si="505">AVERAGE(AR69:AR70)</f>
        <v>-0.75</v>
      </c>
      <c r="AT69" s="90">
        <v>0.3979400086720376</v>
      </c>
      <c r="AU69" s="73">
        <v>0.46040937697618761</v>
      </c>
      <c r="AV69" s="91">
        <v>0</v>
      </c>
      <c r="AW69" s="91">
        <v>0</v>
      </c>
      <c r="AX69" s="75">
        <f t="shared" ref="AX69:AX80" si="506">AW69-AV69</f>
        <v>0</v>
      </c>
      <c r="AY69" s="59">
        <f t="shared" ref="AY69" si="507">AVERAGE(AX69:AX70)</f>
        <v>-6.2469368304149973E-2</v>
      </c>
      <c r="AZ69" s="91">
        <v>-7.9181246047624804E-2</v>
      </c>
      <c r="BA69" s="75">
        <f t="shared" ref="BA69:BA80" si="508">AZ69-AV69</f>
        <v>-7.9181246047624804E-2</v>
      </c>
      <c r="BB69" s="59">
        <f t="shared" ref="BB69" si="509">AVERAGE(BA69:BA70)</f>
        <v>1.498161168872162E-2</v>
      </c>
      <c r="BC69" s="92">
        <v>-7.9181246047624804E-2</v>
      </c>
      <c r="BD69" s="92">
        <v>-7.9181246047624804E-2</v>
      </c>
      <c r="BE69" s="71">
        <f t="shared" ref="BE69:BE80" si="510">BD69-BC69</f>
        <v>0</v>
      </c>
      <c r="BF69" s="78">
        <f t="shared" ref="BF69" si="511">AVERAGE(BE69:BE70)</f>
        <v>0</v>
      </c>
      <c r="BG69" s="92">
        <v>0</v>
      </c>
      <c r="BH69" s="71">
        <f t="shared" ref="BH69:BH80" si="512">BG69-BC69</f>
        <v>7.9181246047624804E-2</v>
      </c>
      <c r="BI69" s="78">
        <f t="shared" ref="BI69" si="513">AVERAGE(BH69:BH70)</f>
        <v>7.9181246047624804E-2</v>
      </c>
      <c r="BJ69" s="93">
        <v>99</v>
      </c>
      <c r="BK69" s="94">
        <v>78</v>
      </c>
    </row>
    <row r="70" spans="1:63" ht="15" customHeight="1">
      <c r="A70" s="81"/>
      <c r="B70" s="82"/>
      <c r="C70" s="102"/>
      <c r="D70" s="84"/>
      <c r="E70" s="85">
        <v>-3.5</v>
      </c>
      <c r="F70" s="59"/>
      <c r="G70" s="271"/>
      <c r="H70" s="86" t="s">
        <v>10</v>
      </c>
      <c r="I70" s="55">
        <v>25.09</v>
      </c>
      <c r="J70" s="56"/>
      <c r="K70" s="86">
        <v>25.12</v>
      </c>
      <c r="L70" s="58">
        <f t="shared" si="27"/>
        <v>3.0000000000001137E-2</v>
      </c>
      <c r="M70" s="59"/>
      <c r="N70" s="86">
        <v>25.16</v>
      </c>
      <c r="O70" s="60">
        <f t="shared" si="28"/>
        <v>3.9999999999999147E-2</v>
      </c>
      <c r="P70" s="56"/>
      <c r="Q70" s="86">
        <v>25.28</v>
      </c>
      <c r="R70" s="61">
        <f t="shared" si="29"/>
        <v>0.16000000000000014</v>
      </c>
      <c r="S70" s="59"/>
      <c r="T70" s="86">
        <v>25.57</v>
      </c>
      <c r="U70" s="60">
        <f t="shared" si="493"/>
        <v>0.44999999999999929</v>
      </c>
      <c r="V70" s="56"/>
      <c r="W70" s="86">
        <v>25.7</v>
      </c>
      <c r="X70" s="61">
        <f t="shared" si="494"/>
        <v>0.57999999999999829</v>
      </c>
      <c r="Y70" s="59"/>
      <c r="Z70" s="61">
        <f t="shared" si="496"/>
        <v>0.41999999999999815</v>
      </c>
      <c r="AA70" s="59"/>
      <c r="AB70" s="71">
        <v>3484</v>
      </c>
      <c r="AC70" s="66"/>
      <c r="AD70" s="87">
        <v>3311</v>
      </c>
      <c r="AE70" s="87">
        <v>3533</v>
      </c>
      <c r="AF70" s="71">
        <f t="shared" si="498"/>
        <v>222</v>
      </c>
      <c r="AG70" s="78"/>
      <c r="AH70" s="87">
        <v>3344</v>
      </c>
      <c r="AI70" s="71">
        <f t="shared" si="500"/>
        <v>33</v>
      </c>
      <c r="AJ70" s="78"/>
      <c r="AK70" s="88">
        <v>18.5</v>
      </c>
      <c r="AL70" s="78"/>
      <c r="AM70" s="89">
        <v>14.5</v>
      </c>
      <c r="AN70" s="89">
        <v>15.5</v>
      </c>
      <c r="AO70" s="70">
        <f t="shared" si="502"/>
        <v>1</v>
      </c>
      <c r="AP70" s="78"/>
      <c r="AQ70" s="89">
        <v>14</v>
      </c>
      <c r="AR70" s="71">
        <f t="shared" si="504"/>
        <v>-0.5</v>
      </c>
      <c r="AS70" s="59"/>
      <c r="AT70" s="90">
        <v>0.52287874528033762</v>
      </c>
      <c r="AU70" s="73"/>
      <c r="AV70" s="91">
        <v>4.5757490560675143E-2</v>
      </c>
      <c r="AW70" s="91">
        <v>-7.9181246047624804E-2</v>
      </c>
      <c r="AX70" s="75">
        <f t="shared" si="506"/>
        <v>-0.12493873660829995</v>
      </c>
      <c r="AY70" s="59"/>
      <c r="AZ70" s="91">
        <v>0.15490195998574319</v>
      </c>
      <c r="BA70" s="75">
        <f t="shared" si="508"/>
        <v>0.10914446942506804</v>
      </c>
      <c r="BB70" s="59"/>
      <c r="BC70" s="92">
        <v>-7.9181246047624804E-2</v>
      </c>
      <c r="BD70" s="92">
        <v>-7.9181246047624804E-2</v>
      </c>
      <c r="BE70" s="71">
        <f t="shared" si="510"/>
        <v>0</v>
      </c>
      <c r="BF70" s="78"/>
      <c r="BG70" s="92">
        <v>0</v>
      </c>
      <c r="BH70" s="71">
        <f t="shared" si="512"/>
        <v>7.9181246047624804E-2</v>
      </c>
      <c r="BI70" s="78"/>
      <c r="BJ70" s="93"/>
      <c r="BK70" s="94"/>
    </row>
    <row r="71" spans="1:63" ht="15" customHeight="1">
      <c r="A71" s="95">
        <v>34</v>
      </c>
      <c r="B71" s="82" t="s">
        <v>28</v>
      </c>
      <c r="C71" s="130">
        <v>12.465753424657533</v>
      </c>
      <c r="D71" s="97" t="s">
        <v>0</v>
      </c>
      <c r="E71" s="85">
        <v>-6</v>
      </c>
      <c r="F71" s="59">
        <f t="shared" si="0"/>
        <v>-5.9375</v>
      </c>
      <c r="G71" s="272">
        <v>42236</v>
      </c>
      <c r="H71" s="54" t="s">
        <v>9</v>
      </c>
      <c r="I71" s="103">
        <v>26.01</v>
      </c>
      <c r="J71" s="56">
        <f t="shared" si="1"/>
        <v>25.96</v>
      </c>
      <c r="K71" s="104">
        <v>25.84</v>
      </c>
      <c r="L71" s="58">
        <f t="shared" si="27"/>
        <v>-0.17000000000000171</v>
      </c>
      <c r="M71" s="59">
        <f t="shared" ref="M71" si="514">AVERAGE(L71:L72)</f>
        <v>-0.11500000000000021</v>
      </c>
      <c r="N71" s="104">
        <v>25.85</v>
      </c>
      <c r="O71" s="60">
        <f t="shared" si="28"/>
        <v>1.0000000000001563E-2</v>
      </c>
      <c r="P71" s="56">
        <f t="shared" ref="P71" si="515">AVERAGE(O71:O72)</f>
        <v>5.0000000000007816E-3</v>
      </c>
      <c r="Q71" s="104">
        <v>25.88</v>
      </c>
      <c r="R71" s="61">
        <f t="shared" si="29"/>
        <v>3.9999999999999147E-2</v>
      </c>
      <c r="S71" s="59">
        <f t="shared" ref="S71" si="516">AVERAGE(R71:R72)</f>
        <v>3.9999999999999147E-2</v>
      </c>
      <c r="T71" s="104">
        <v>26</v>
      </c>
      <c r="U71" s="60">
        <f t="shared" si="493"/>
        <v>0.16000000000000014</v>
      </c>
      <c r="V71" s="56">
        <f t="shared" si="6"/>
        <v>0.17999999999999972</v>
      </c>
      <c r="W71" s="104">
        <v>26.02</v>
      </c>
      <c r="X71" s="61">
        <f t="shared" si="494"/>
        <v>0.17999999999999972</v>
      </c>
      <c r="Y71" s="59">
        <f t="shared" si="495"/>
        <v>0.23999999999999844</v>
      </c>
      <c r="Z71" s="61">
        <f t="shared" si="496"/>
        <v>0.14000000000000057</v>
      </c>
      <c r="AA71" s="59">
        <f t="shared" ref="AA71" si="517">AVERAGE(Z71:Z72)</f>
        <v>0.19999999999999929</v>
      </c>
      <c r="AB71" s="141">
        <v>2967</v>
      </c>
      <c r="AC71" s="99">
        <f t="shared" si="163"/>
        <v>3096</v>
      </c>
      <c r="AD71" s="142">
        <v>2659</v>
      </c>
      <c r="AE71" s="142">
        <v>2777</v>
      </c>
      <c r="AF71" s="71">
        <f t="shared" si="498"/>
        <v>118</v>
      </c>
      <c r="AG71" s="78">
        <f t="shared" ref="AG71" si="518">AVERAGE(AF71:AF72)</f>
        <v>84</v>
      </c>
      <c r="AH71" s="87">
        <v>2659</v>
      </c>
      <c r="AI71" s="71">
        <f t="shared" si="500"/>
        <v>0</v>
      </c>
      <c r="AJ71" s="78">
        <f t="shared" ref="AJ71" si="519">AVERAGE(AI71:AI72)</f>
        <v>-48</v>
      </c>
      <c r="AK71" s="88">
        <v>15.5</v>
      </c>
      <c r="AL71" s="78">
        <f t="shared" si="151"/>
        <v>16.25</v>
      </c>
      <c r="AM71" s="89">
        <v>13</v>
      </c>
      <c r="AN71" s="89">
        <v>13.5</v>
      </c>
      <c r="AO71" s="70">
        <f t="shared" si="502"/>
        <v>0.5</v>
      </c>
      <c r="AP71" s="78">
        <f t="shared" ref="AP71" si="520">AVERAGE(AO71:AO72)</f>
        <v>-0.25</v>
      </c>
      <c r="AQ71" s="89">
        <v>11</v>
      </c>
      <c r="AR71" s="71">
        <f t="shared" si="504"/>
        <v>-2</v>
      </c>
      <c r="AS71" s="59">
        <f t="shared" ref="AS71" si="521">AVERAGE(AR71:AR72)</f>
        <v>-1.5</v>
      </c>
      <c r="AT71" s="90">
        <v>0.52287874528033762</v>
      </c>
      <c r="AU71" s="73">
        <v>0.52287874528033762</v>
      </c>
      <c r="AV71" s="91">
        <v>0</v>
      </c>
      <c r="AW71" s="91">
        <v>0.22184874961635639</v>
      </c>
      <c r="AX71" s="75">
        <f t="shared" si="506"/>
        <v>0.22184874961635639</v>
      </c>
      <c r="AY71" s="59">
        <f t="shared" ref="AY71" si="522">AVERAGE(AX71:AX72)</f>
        <v>0.1443977696234848</v>
      </c>
      <c r="AZ71" s="91">
        <v>9.691001300805642E-2</v>
      </c>
      <c r="BA71" s="75">
        <f t="shared" si="508"/>
        <v>9.691001300805642E-2</v>
      </c>
      <c r="BB71" s="59">
        <f t="shared" ref="BB71" si="523">AVERAGE(BA71:BA72)</f>
        <v>1.9459033015184826E-2</v>
      </c>
      <c r="BC71" s="92">
        <v>9.691001300805642E-2</v>
      </c>
      <c r="BD71" s="92">
        <v>4.5757490560675143E-2</v>
      </c>
      <c r="BE71" s="71">
        <f t="shared" si="510"/>
        <v>-5.1152522447381277E-2</v>
      </c>
      <c r="BF71" s="78">
        <f t="shared" ref="BF71" si="524">AVERAGE(BE71:BE72)</f>
        <v>0</v>
      </c>
      <c r="BG71" s="92">
        <v>4.5757490560675143E-2</v>
      </c>
      <c r="BH71" s="71">
        <f t="shared" si="512"/>
        <v>-5.1152522447381277E-2</v>
      </c>
      <c r="BI71" s="78">
        <f t="shared" ref="BI71" si="525">AVERAGE(BH71:BH72)</f>
        <v>0</v>
      </c>
      <c r="BJ71" s="93">
        <v>100</v>
      </c>
      <c r="BK71" s="94">
        <v>98</v>
      </c>
    </row>
    <row r="72" spans="1:63" ht="15" customHeight="1">
      <c r="A72" s="81"/>
      <c r="B72" s="82"/>
      <c r="C72" s="132"/>
      <c r="D72" s="84"/>
      <c r="E72" s="85">
        <v>-5.875</v>
      </c>
      <c r="F72" s="59"/>
      <c r="G72" s="271"/>
      <c r="H72" s="86" t="s">
        <v>10</v>
      </c>
      <c r="I72" s="103">
        <v>25.91</v>
      </c>
      <c r="J72" s="94"/>
      <c r="K72" s="104">
        <v>25.85</v>
      </c>
      <c r="L72" s="58">
        <f t="shared" si="27"/>
        <v>-5.9999999999998721E-2</v>
      </c>
      <c r="M72" s="59"/>
      <c r="N72" s="104">
        <v>25.85</v>
      </c>
      <c r="O72" s="60">
        <f t="shared" si="28"/>
        <v>0</v>
      </c>
      <c r="P72" s="56"/>
      <c r="Q72" s="104">
        <v>25.89</v>
      </c>
      <c r="R72" s="61">
        <f t="shared" si="29"/>
        <v>3.9999999999999147E-2</v>
      </c>
      <c r="S72" s="59"/>
      <c r="T72" s="104">
        <v>26.05</v>
      </c>
      <c r="U72" s="60">
        <f t="shared" si="493"/>
        <v>0.19999999999999929</v>
      </c>
      <c r="V72" s="56"/>
      <c r="W72" s="104">
        <v>26.15</v>
      </c>
      <c r="X72" s="61">
        <f t="shared" si="494"/>
        <v>0.29999999999999716</v>
      </c>
      <c r="Y72" s="59"/>
      <c r="Z72" s="61">
        <f t="shared" si="496"/>
        <v>0.25999999999999801</v>
      </c>
      <c r="AA72" s="59"/>
      <c r="AB72" s="141">
        <v>3225</v>
      </c>
      <c r="AC72" s="66"/>
      <c r="AD72" s="142">
        <v>2873</v>
      </c>
      <c r="AE72" s="142">
        <v>2923</v>
      </c>
      <c r="AF72" s="71">
        <f t="shared" si="498"/>
        <v>50</v>
      </c>
      <c r="AG72" s="78"/>
      <c r="AH72" s="87">
        <v>2777</v>
      </c>
      <c r="AI72" s="71">
        <f t="shared" si="500"/>
        <v>-96</v>
      </c>
      <c r="AJ72" s="78"/>
      <c r="AK72" s="88">
        <v>17</v>
      </c>
      <c r="AL72" s="78"/>
      <c r="AM72" s="89">
        <v>15</v>
      </c>
      <c r="AN72" s="89">
        <v>14</v>
      </c>
      <c r="AO72" s="70">
        <f t="shared" si="502"/>
        <v>-1</v>
      </c>
      <c r="AP72" s="78"/>
      <c r="AQ72" s="89">
        <v>14</v>
      </c>
      <c r="AR72" s="71">
        <f t="shared" si="504"/>
        <v>-1</v>
      </c>
      <c r="AS72" s="59"/>
      <c r="AT72" s="90">
        <v>0.52287874528033762</v>
      </c>
      <c r="AU72" s="73"/>
      <c r="AV72" s="91">
        <v>0.15490195998574319</v>
      </c>
      <c r="AW72" s="91">
        <v>0.22184874961635639</v>
      </c>
      <c r="AX72" s="75">
        <f t="shared" si="506"/>
        <v>6.6946789630613207E-2</v>
      </c>
      <c r="AY72" s="59"/>
      <c r="AZ72" s="91">
        <v>9.691001300805642E-2</v>
      </c>
      <c r="BA72" s="75">
        <f t="shared" si="508"/>
        <v>-5.7991946977686767E-2</v>
      </c>
      <c r="BB72" s="59"/>
      <c r="BC72" s="92">
        <v>4.5757490560675143E-2</v>
      </c>
      <c r="BD72" s="92">
        <v>9.691001300805642E-2</v>
      </c>
      <c r="BE72" s="71">
        <f t="shared" si="510"/>
        <v>5.1152522447381277E-2</v>
      </c>
      <c r="BF72" s="78"/>
      <c r="BG72" s="92">
        <v>9.691001300805642E-2</v>
      </c>
      <c r="BH72" s="71">
        <f t="shared" si="512"/>
        <v>5.1152522447381277E-2</v>
      </c>
      <c r="BI72" s="78"/>
      <c r="BJ72" s="93"/>
      <c r="BK72" s="94"/>
    </row>
    <row r="73" spans="1:63" ht="15" customHeight="1">
      <c r="A73" s="95">
        <v>35</v>
      </c>
      <c r="B73" s="82" t="s">
        <v>28</v>
      </c>
      <c r="C73" s="130">
        <v>12.271232876712329</v>
      </c>
      <c r="D73" s="97" t="s">
        <v>0</v>
      </c>
      <c r="E73" s="85">
        <v>-3.25</v>
      </c>
      <c r="F73" s="59">
        <f t="shared" si="0"/>
        <v>-3.125</v>
      </c>
      <c r="G73" s="272">
        <v>42261</v>
      </c>
      <c r="H73" s="54" t="s">
        <v>9</v>
      </c>
      <c r="I73" s="103">
        <v>26.02</v>
      </c>
      <c r="J73" s="56">
        <f t="shared" ref="J73:J77" si="526">AVERAGE(I73:I74)</f>
        <v>25.939999999999998</v>
      </c>
      <c r="K73" s="104">
        <v>26.03</v>
      </c>
      <c r="L73" s="58">
        <f t="shared" ref="L73:L74" si="527">K73-I73</f>
        <v>1.0000000000001563E-2</v>
      </c>
      <c r="M73" s="59">
        <f t="shared" ref="M73" si="528">AVERAGE(L73:L74)</f>
        <v>-4.9999999999990052E-3</v>
      </c>
      <c r="N73" s="104">
        <v>26.07</v>
      </c>
      <c r="O73" s="60">
        <f t="shared" ref="O73:O74" si="529">N73-K73</f>
        <v>3.9999999999999147E-2</v>
      </c>
      <c r="P73" s="56">
        <f t="shared" ref="P73" si="530">AVERAGE(O73:O74)</f>
        <v>2.9999999999999361E-2</v>
      </c>
      <c r="Q73" s="104">
        <v>26.19</v>
      </c>
      <c r="R73" s="61">
        <f t="shared" ref="R73:R74" si="531">Q73-K73</f>
        <v>0.16000000000000014</v>
      </c>
      <c r="S73" s="59">
        <f t="shared" ref="S73" si="532">AVERAGE(R73:R74)</f>
        <v>0.14499999999999957</v>
      </c>
      <c r="T73" s="104">
        <v>26.39</v>
      </c>
      <c r="U73" s="60">
        <f t="shared" si="493"/>
        <v>0.35999999999999943</v>
      </c>
      <c r="V73" s="56">
        <f t="shared" ref="V73" si="533">AVERAGE(U73:U74)</f>
        <v>0.36999999999999922</v>
      </c>
      <c r="W73" s="104">
        <v>26.41</v>
      </c>
      <c r="X73" s="61">
        <f t="shared" si="494"/>
        <v>0.37999999999999901</v>
      </c>
      <c r="Y73" s="59">
        <f t="shared" ref="Y73" si="534">AVERAGE(X73:X74)</f>
        <v>0.39499999999999957</v>
      </c>
      <c r="Z73" s="61">
        <f t="shared" si="496"/>
        <v>0.21999999999999886</v>
      </c>
      <c r="AA73" s="59">
        <f t="shared" ref="AA73" si="535">AVERAGE(Z73:Z74)</f>
        <v>0.25</v>
      </c>
      <c r="AB73" s="141">
        <v>3636</v>
      </c>
      <c r="AC73" s="99">
        <f t="shared" si="163"/>
        <v>3542</v>
      </c>
      <c r="AD73" s="142">
        <v>3236</v>
      </c>
      <c r="AE73" s="142">
        <v>3355</v>
      </c>
      <c r="AF73" s="71">
        <f t="shared" si="498"/>
        <v>119</v>
      </c>
      <c r="AG73" s="78">
        <f t="shared" ref="AG73" si="536">AVERAGE(AF73:AF74)</f>
        <v>93</v>
      </c>
      <c r="AH73" s="87">
        <v>3021</v>
      </c>
      <c r="AI73" s="71">
        <f t="shared" si="500"/>
        <v>-215</v>
      </c>
      <c r="AJ73" s="78">
        <f t="shared" ref="AJ73" si="537">AVERAGE(AI73:AI74)</f>
        <v>-64.5</v>
      </c>
      <c r="AK73" s="88">
        <v>13.5</v>
      </c>
      <c r="AL73" s="78">
        <f t="shared" si="151"/>
        <v>13.5</v>
      </c>
      <c r="AM73" s="89">
        <v>11.5</v>
      </c>
      <c r="AN73" s="89">
        <v>11</v>
      </c>
      <c r="AO73" s="70">
        <f t="shared" si="502"/>
        <v>-0.5</v>
      </c>
      <c r="AP73" s="78">
        <f t="shared" ref="AP73" si="538">AVERAGE(AO73:AO74)</f>
        <v>-1</v>
      </c>
      <c r="AQ73" s="89">
        <v>12.7</v>
      </c>
      <c r="AR73" s="71">
        <f t="shared" si="504"/>
        <v>1.1999999999999993</v>
      </c>
      <c r="AS73" s="59">
        <f t="shared" ref="AS73" si="539">AVERAGE(AR73:AR74)</f>
        <v>0.84999999999999964</v>
      </c>
      <c r="AT73" s="90">
        <v>0.82390874094431876</v>
      </c>
      <c r="AU73" s="73">
        <v>0.82390874094431876</v>
      </c>
      <c r="AV73" s="91">
        <v>9.691001300805642E-2</v>
      </c>
      <c r="AW73" s="91">
        <v>4.5757490560675143E-2</v>
      </c>
      <c r="AX73" s="75">
        <f t="shared" si="506"/>
        <v>-5.1152522447381277E-2</v>
      </c>
      <c r="AY73" s="59">
        <f t="shared" ref="AY73" si="540">AVERAGE(AX73:AX74)</f>
        <v>-2.6975159433530668E-3</v>
      </c>
      <c r="AZ73" s="91">
        <v>9.691001300805642E-2</v>
      </c>
      <c r="BA73" s="75">
        <f t="shared" si="508"/>
        <v>0</v>
      </c>
      <c r="BB73" s="59">
        <f t="shared" ref="BB73" si="541">AVERAGE(BA73:BA74)</f>
        <v>7.7450979992871594E-2</v>
      </c>
      <c r="BC73" s="92">
        <v>-7.9181246047624804E-2</v>
      </c>
      <c r="BD73" s="92">
        <v>9.691001300805642E-2</v>
      </c>
      <c r="BE73" s="71">
        <f t="shared" si="510"/>
        <v>0.17609125905568124</v>
      </c>
      <c r="BF73" s="78">
        <f t="shared" ref="BF73" si="542">AVERAGE(BE73:BE74)</f>
        <v>0.13650063603186882</v>
      </c>
      <c r="BG73" s="92">
        <v>4.5757490560675143E-2</v>
      </c>
      <c r="BH73" s="71">
        <f t="shared" si="512"/>
        <v>0.12493873660829995</v>
      </c>
      <c r="BI73" s="78">
        <f t="shared" ref="BI73" si="543">AVERAGE(BH73:BH74)</f>
        <v>0.11092437480817818</v>
      </c>
      <c r="BJ73" s="93">
        <v>100</v>
      </c>
      <c r="BK73" s="94">
        <v>92</v>
      </c>
    </row>
    <row r="74" spans="1:63" ht="15" customHeight="1">
      <c r="A74" s="81"/>
      <c r="B74" s="82"/>
      <c r="C74" s="132"/>
      <c r="D74" s="84"/>
      <c r="E74" s="85">
        <v>-3</v>
      </c>
      <c r="F74" s="59"/>
      <c r="G74" s="271"/>
      <c r="H74" s="86" t="s">
        <v>10</v>
      </c>
      <c r="I74" s="103">
        <v>25.86</v>
      </c>
      <c r="J74" s="94"/>
      <c r="K74" s="104">
        <v>25.84</v>
      </c>
      <c r="L74" s="58">
        <f t="shared" si="527"/>
        <v>-1.9999999999999574E-2</v>
      </c>
      <c r="M74" s="59"/>
      <c r="N74" s="104">
        <v>25.86</v>
      </c>
      <c r="O74" s="60">
        <f t="shared" si="529"/>
        <v>1.9999999999999574E-2</v>
      </c>
      <c r="P74" s="56"/>
      <c r="Q74" s="104">
        <v>25.97</v>
      </c>
      <c r="R74" s="61">
        <f t="shared" si="531"/>
        <v>0.12999999999999901</v>
      </c>
      <c r="S74" s="59"/>
      <c r="T74" s="104">
        <v>26.22</v>
      </c>
      <c r="U74" s="60">
        <f t="shared" si="493"/>
        <v>0.37999999999999901</v>
      </c>
      <c r="V74" s="56"/>
      <c r="W74" s="104">
        <v>26.25</v>
      </c>
      <c r="X74" s="61">
        <f t="shared" si="494"/>
        <v>0.41000000000000014</v>
      </c>
      <c r="Y74" s="59"/>
      <c r="Z74" s="61">
        <f t="shared" si="496"/>
        <v>0.28000000000000114</v>
      </c>
      <c r="AA74" s="59"/>
      <c r="AB74" s="141">
        <v>3448</v>
      </c>
      <c r="AC74" s="66"/>
      <c r="AD74" s="142">
        <v>3058</v>
      </c>
      <c r="AE74" s="142">
        <v>3125</v>
      </c>
      <c r="AF74" s="71">
        <f t="shared" si="498"/>
        <v>67</v>
      </c>
      <c r="AG74" s="78"/>
      <c r="AH74" s="87">
        <v>3144</v>
      </c>
      <c r="AI74" s="71">
        <f t="shared" si="500"/>
        <v>86</v>
      </c>
      <c r="AJ74" s="78"/>
      <c r="AK74" s="88">
        <v>13.5</v>
      </c>
      <c r="AL74" s="78"/>
      <c r="AM74" s="89">
        <v>12</v>
      </c>
      <c r="AN74" s="89">
        <v>10.5</v>
      </c>
      <c r="AO74" s="70">
        <f t="shared" si="502"/>
        <v>-1.5</v>
      </c>
      <c r="AP74" s="78"/>
      <c r="AQ74" s="89">
        <v>12.5</v>
      </c>
      <c r="AR74" s="71">
        <f t="shared" si="504"/>
        <v>0.5</v>
      </c>
      <c r="AS74" s="59"/>
      <c r="AT74" s="90">
        <v>0.82390874094431876</v>
      </c>
      <c r="AU74" s="73"/>
      <c r="AV74" s="91">
        <v>0</v>
      </c>
      <c r="AW74" s="91">
        <v>4.5757490560675143E-2</v>
      </c>
      <c r="AX74" s="75">
        <f t="shared" si="506"/>
        <v>4.5757490560675143E-2</v>
      </c>
      <c r="AY74" s="59"/>
      <c r="AZ74" s="91">
        <v>0.15490195998574319</v>
      </c>
      <c r="BA74" s="75">
        <f t="shared" si="508"/>
        <v>0.15490195998574319</v>
      </c>
      <c r="BB74" s="59"/>
      <c r="BC74" s="92">
        <v>0</v>
      </c>
      <c r="BD74" s="92">
        <v>9.691001300805642E-2</v>
      </c>
      <c r="BE74" s="71">
        <f t="shared" si="510"/>
        <v>9.691001300805642E-2</v>
      </c>
      <c r="BF74" s="78"/>
      <c r="BG74" s="92">
        <v>9.691001300805642E-2</v>
      </c>
      <c r="BH74" s="71">
        <f t="shared" si="512"/>
        <v>9.691001300805642E-2</v>
      </c>
      <c r="BI74" s="78"/>
      <c r="BJ74" s="93"/>
      <c r="BK74" s="94"/>
    </row>
    <row r="75" spans="1:63" ht="15" customHeight="1">
      <c r="A75" s="95">
        <v>36</v>
      </c>
      <c r="B75" s="82" t="s">
        <v>28</v>
      </c>
      <c r="C75" s="130">
        <v>12.33972602739726</v>
      </c>
      <c r="D75" s="97" t="s">
        <v>1</v>
      </c>
      <c r="E75" s="85">
        <v>-4.25</v>
      </c>
      <c r="F75" s="59">
        <f t="shared" si="0"/>
        <v>-4.5625</v>
      </c>
      <c r="G75" s="273">
        <v>42585</v>
      </c>
      <c r="H75" s="58" t="s">
        <v>9</v>
      </c>
      <c r="I75" s="143">
        <v>25.4</v>
      </c>
      <c r="J75" s="56">
        <f t="shared" si="526"/>
        <v>25.39</v>
      </c>
      <c r="K75" s="104">
        <v>25.37</v>
      </c>
      <c r="L75" s="58">
        <f t="shared" ref="L75:L78" si="544">K75-I75</f>
        <v>-2.9999999999997584E-2</v>
      </c>
      <c r="M75" s="59">
        <f t="shared" ref="M75" si="545">AVERAGE(L75:L76)</f>
        <v>-2.4999999999998579E-2</v>
      </c>
      <c r="N75" s="104">
        <v>25.44</v>
      </c>
      <c r="O75" s="60">
        <f t="shared" ref="O75:O78" si="546">N75-K75</f>
        <v>7.0000000000000284E-2</v>
      </c>
      <c r="P75" s="56">
        <f t="shared" ref="P75" si="547">AVERAGE(O75:O76)</f>
        <v>6.5000000000001279E-2</v>
      </c>
      <c r="Q75" s="104">
        <v>25.48</v>
      </c>
      <c r="R75" s="61">
        <f t="shared" ref="R75:R78" si="548">Q75-K75</f>
        <v>0.10999999999999943</v>
      </c>
      <c r="S75" s="59">
        <f t="shared" ref="S75" si="549">AVERAGE(R75:R76)</f>
        <v>9.9999999999999645E-2</v>
      </c>
      <c r="T75" s="104">
        <v>25.57</v>
      </c>
      <c r="U75" s="60">
        <f t="shared" si="493"/>
        <v>0.19999999999999929</v>
      </c>
      <c r="V75" s="56">
        <f t="shared" ref="V75" si="550">AVERAGE(U75:U76)</f>
        <v>0.19500000000000028</v>
      </c>
      <c r="W75" s="104">
        <v>25.6</v>
      </c>
      <c r="X75" s="61">
        <f t="shared" si="494"/>
        <v>0.23000000000000043</v>
      </c>
      <c r="Y75" s="59">
        <f t="shared" ref="Y75" si="551">AVERAGE(X75:X76)</f>
        <v>0.23000000000000043</v>
      </c>
      <c r="Z75" s="61">
        <f t="shared" si="496"/>
        <v>0.12000000000000099</v>
      </c>
      <c r="AA75" s="59">
        <f t="shared" ref="AA75" si="552">AVERAGE(Z75:Z76)</f>
        <v>0.13000000000000078</v>
      </c>
      <c r="AB75" s="144">
        <v>3472</v>
      </c>
      <c r="AC75" s="99">
        <f t="shared" si="163"/>
        <v>3448</v>
      </c>
      <c r="AD75" s="142">
        <v>3300</v>
      </c>
      <c r="AE75" s="142">
        <v>3174</v>
      </c>
      <c r="AF75" s="71">
        <f t="shared" si="498"/>
        <v>-126</v>
      </c>
      <c r="AG75" s="78">
        <f t="shared" ref="AG75" si="553">AVERAGE(AF75:AF76)</f>
        <v>-63</v>
      </c>
      <c r="AH75" s="87">
        <v>3333</v>
      </c>
      <c r="AI75" s="71">
        <f t="shared" si="500"/>
        <v>33</v>
      </c>
      <c r="AJ75" s="78">
        <f t="shared" ref="AJ75" si="554">AVERAGE(AI75:AI76)</f>
        <v>-13.5</v>
      </c>
      <c r="AK75" s="88">
        <v>16</v>
      </c>
      <c r="AL75" s="78">
        <f t="shared" si="151"/>
        <v>16</v>
      </c>
      <c r="AM75" s="89">
        <v>18.7</v>
      </c>
      <c r="AN75" s="89">
        <v>12</v>
      </c>
      <c r="AO75" s="70">
        <f t="shared" si="502"/>
        <v>-6.6999999999999993</v>
      </c>
      <c r="AP75" s="78">
        <f t="shared" ref="AP75" si="555">AVERAGE(AO75:AO76)</f>
        <v>-5.85</v>
      </c>
      <c r="AQ75" s="89">
        <v>12</v>
      </c>
      <c r="AR75" s="71">
        <f t="shared" si="504"/>
        <v>-6.6999999999999993</v>
      </c>
      <c r="AS75" s="59">
        <f t="shared" ref="AS75" si="556">AVERAGE(AR75:AR76)</f>
        <v>-5.85</v>
      </c>
      <c r="AT75" s="90">
        <v>1.045757490560675</v>
      </c>
      <c r="AU75" s="73">
        <v>1.1338031200885157</v>
      </c>
      <c r="AV75" s="91">
        <v>0</v>
      </c>
      <c r="AW75" s="91">
        <v>-7.9181246047624804E-2</v>
      </c>
      <c r="AX75" s="75">
        <f t="shared" si="506"/>
        <v>-7.9181246047624804E-2</v>
      </c>
      <c r="AY75" s="59">
        <f t="shared" ref="AY75" si="557">AVERAGE(AX75:AX76)</f>
        <v>-0.10205999132796237</v>
      </c>
      <c r="AZ75" s="91">
        <v>9.691001300805642E-2</v>
      </c>
      <c r="BA75" s="75">
        <f t="shared" si="508"/>
        <v>9.691001300805642E-2</v>
      </c>
      <c r="BB75" s="98">
        <f t="shared" ref="BB75" si="558">AVERAGE(BA75:BA76)</f>
        <v>2.5576261223690638E-2</v>
      </c>
      <c r="BC75" s="92">
        <v>-7.9181246047624804E-2</v>
      </c>
      <c r="BD75" s="92">
        <v>0</v>
      </c>
      <c r="BE75" s="71">
        <f t="shared" si="510"/>
        <v>7.9181246047624804E-2</v>
      </c>
      <c r="BF75" s="78">
        <f t="shared" ref="BF75" si="559">AVERAGE(BE75:BE76)</f>
        <v>0.117041603016684</v>
      </c>
      <c r="BG75" s="92">
        <v>4.5757490560675143E-2</v>
      </c>
      <c r="BH75" s="71">
        <f t="shared" si="512"/>
        <v>0.12493873660829995</v>
      </c>
      <c r="BI75" s="98">
        <f t="shared" ref="BI75" si="560">AVERAGE(BH75:BH76)</f>
        <v>6.2469368304149973E-2</v>
      </c>
      <c r="BJ75" s="93">
        <v>98</v>
      </c>
      <c r="BK75" s="94">
        <v>86</v>
      </c>
    </row>
    <row r="76" spans="1:63" ht="15" customHeight="1">
      <c r="A76" s="81"/>
      <c r="B76" s="82"/>
      <c r="C76" s="132"/>
      <c r="D76" s="84"/>
      <c r="E76" s="85">
        <v>-4.875</v>
      </c>
      <c r="F76" s="59"/>
      <c r="G76" s="274"/>
      <c r="H76" s="58" t="s">
        <v>10</v>
      </c>
      <c r="I76" s="143">
        <v>25.38</v>
      </c>
      <c r="J76" s="94"/>
      <c r="K76" s="104">
        <v>25.36</v>
      </c>
      <c r="L76" s="58">
        <f t="shared" si="544"/>
        <v>-1.9999999999999574E-2</v>
      </c>
      <c r="M76" s="59"/>
      <c r="N76" s="104">
        <v>25.42</v>
      </c>
      <c r="O76" s="60">
        <f t="shared" si="546"/>
        <v>6.0000000000002274E-2</v>
      </c>
      <c r="P76" s="56"/>
      <c r="Q76" s="104">
        <v>25.45</v>
      </c>
      <c r="R76" s="61">
        <f t="shared" si="548"/>
        <v>8.9999999999999858E-2</v>
      </c>
      <c r="S76" s="59"/>
      <c r="T76" s="104">
        <v>25.55</v>
      </c>
      <c r="U76" s="60">
        <f t="shared" si="493"/>
        <v>0.19000000000000128</v>
      </c>
      <c r="V76" s="56"/>
      <c r="W76" s="104">
        <v>25.59</v>
      </c>
      <c r="X76" s="61">
        <f t="shared" si="494"/>
        <v>0.23000000000000043</v>
      </c>
      <c r="Y76" s="59"/>
      <c r="Z76" s="61">
        <f t="shared" si="496"/>
        <v>0.14000000000000057</v>
      </c>
      <c r="AA76" s="59"/>
      <c r="AB76" s="144">
        <v>3424</v>
      </c>
      <c r="AC76" s="66"/>
      <c r="AD76" s="142">
        <v>3472</v>
      </c>
      <c r="AE76" s="142">
        <v>3472</v>
      </c>
      <c r="AF76" s="71">
        <f t="shared" si="498"/>
        <v>0</v>
      </c>
      <c r="AG76" s="78"/>
      <c r="AH76" s="87">
        <v>3412</v>
      </c>
      <c r="AI76" s="71">
        <f t="shared" si="500"/>
        <v>-60</v>
      </c>
      <c r="AJ76" s="78"/>
      <c r="AK76" s="88">
        <v>16</v>
      </c>
      <c r="AL76" s="78"/>
      <c r="AM76" s="89">
        <v>16</v>
      </c>
      <c r="AN76" s="89">
        <v>11</v>
      </c>
      <c r="AO76" s="70">
        <f t="shared" si="502"/>
        <v>-5</v>
      </c>
      <c r="AP76" s="78"/>
      <c r="AQ76" s="89">
        <v>11</v>
      </c>
      <c r="AR76" s="71">
        <f t="shared" si="504"/>
        <v>-5</v>
      </c>
      <c r="AS76" s="59"/>
      <c r="AT76" s="90">
        <v>1.2218487496163564</v>
      </c>
      <c r="AU76" s="73"/>
      <c r="AV76" s="91">
        <v>4.5757490560675143E-2</v>
      </c>
      <c r="AW76" s="91">
        <v>-7.9181246047624804E-2</v>
      </c>
      <c r="AX76" s="75">
        <f t="shared" si="506"/>
        <v>-0.12493873660829995</v>
      </c>
      <c r="AY76" s="59"/>
      <c r="AZ76" s="91">
        <v>0</v>
      </c>
      <c r="BA76" s="75">
        <f t="shared" si="508"/>
        <v>-4.5757490560675143E-2</v>
      </c>
      <c r="BB76" s="100"/>
      <c r="BC76" s="92">
        <v>0</v>
      </c>
      <c r="BD76" s="92">
        <v>0.15490195998574319</v>
      </c>
      <c r="BE76" s="71">
        <f t="shared" si="510"/>
        <v>0.15490195998574319</v>
      </c>
      <c r="BF76" s="78"/>
      <c r="BG76" s="92">
        <v>0</v>
      </c>
      <c r="BH76" s="71">
        <f t="shared" si="512"/>
        <v>0</v>
      </c>
      <c r="BI76" s="100"/>
      <c r="BJ76" s="93"/>
      <c r="BK76" s="94"/>
    </row>
    <row r="77" spans="1:63" ht="15" customHeight="1">
      <c r="A77" s="95">
        <v>37</v>
      </c>
      <c r="B77" s="82" t="s">
        <v>28</v>
      </c>
      <c r="C77" s="130">
        <v>12.161643835616438</v>
      </c>
      <c r="D77" s="106" t="s">
        <v>0</v>
      </c>
      <c r="E77" s="85">
        <v>-5.25</v>
      </c>
      <c r="F77" s="59">
        <f t="shared" si="0"/>
        <v>-5.375</v>
      </c>
      <c r="G77" s="273">
        <v>42683</v>
      </c>
      <c r="H77" s="145" t="s">
        <v>9</v>
      </c>
      <c r="I77" s="143">
        <v>24.77</v>
      </c>
      <c r="J77" s="56">
        <f t="shared" si="526"/>
        <v>24.799999999999997</v>
      </c>
      <c r="K77" s="104">
        <v>24.67</v>
      </c>
      <c r="L77" s="58">
        <f t="shared" si="544"/>
        <v>-9.9999999999997868E-2</v>
      </c>
      <c r="M77" s="59">
        <f t="shared" ref="M77" si="561">AVERAGE(L77:L78)</f>
        <v>-0.10499999999999865</v>
      </c>
      <c r="N77" s="104">
        <v>24.65</v>
      </c>
      <c r="O77" s="60">
        <f t="shared" si="546"/>
        <v>-2.0000000000003126E-2</v>
      </c>
      <c r="P77" s="56">
        <f t="shared" ref="P77" si="562">AVERAGE(O77:O78)</f>
        <v>-5.0000000000007816E-3</v>
      </c>
      <c r="Q77" s="104">
        <v>24.55</v>
      </c>
      <c r="R77" s="61">
        <f t="shared" si="548"/>
        <v>-0.12000000000000099</v>
      </c>
      <c r="S77" s="59">
        <f t="shared" ref="S77" si="563">AVERAGE(R77:R78)</f>
        <v>-1.5000000000000568E-2</v>
      </c>
      <c r="T77" s="104">
        <v>24.77</v>
      </c>
      <c r="U77" s="60">
        <f t="shared" si="493"/>
        <v>9.9999999999997868E-2</v>
      </c>
      <c r="V77" s="56">
        <f t="shared" ref="V77" si="564">AVERAGE(U77:U78)</f>
        <v>0.125</v>
      </c>
      <c r="W77" s="104">
        <v>24.86</v>
      </c>
      <c r="X77" s="61">
        <f t="shared" si="494"/>
        <v>0.18999999999999773</v>
      </c>
      <c r="Y77" s="59">
        <f t="shared" ref="Y77" si="565">AVERAGE(X77:X78)</f>
        <v>0.17499999999999893</v>
      </c>
      <c r="Z77" s="61">
        <f t="shared" si="496"/>
        <v>0.30999999999999872</v>
      </c>
      <c r="AA77" s="59">
        <f t="shared" ref="AA77" si="566">AVERAGE(Z77:Z78)</f>
        <v>0.1899999999999995</v>
      </c>
      <c r="AB77" s="144">
        <v>3759</v>
      </c>
      <c r="AC77" s="99">
        <f t="shared" si="163"/>
        <v>3358.5</v>
      </c>
      <c r="AD77" s="142">
        <v>3906</v>
      </c>
      <c r="AE77" s="142">
        <v>3174</v>
      </c>
      <c r="AF77" s="71">
        <f t="shared" si="498"/>
        <v>-732</v>
      </c>
      <c r="AG77" s="78">
        <f t="shared" ref="AG77" si="567">AVERAGE(AF77:AF78)</f>
        <v>-614.5</v>
      </c>
      <c r="AH77" s="87">
        <v>3164</v>
      </c>
      <c r="AI77" s="71">
        <f t="shared" si="500"/>
        <v>-742</v>
      </c>
      <c r="AJ77" s="78">
        <f t="shared" ref="AJ77" si="568">AVERAGE(AI77:AI78)</f>
        <v>-654</v>
      </c>
      <c r="AK77" s="88">
        <v>12</v>
      </c>
      <c r="AL77" s="78">
        <f t="shared" si="151"/>
        <v>11.5</v>
      </c>
      <c r="AM77" s="89">
        <v>10</v>
      </c>
      <c r="AN77" s="89">
        <v>10.5</v>
      </c>
      <c r="AO77" s="70">
        <f t="shared" si="502"/>
        <v>0.5</v>
      </c>
      <c r="AP77" s="78">
        <f t="shared" ref="AP77" si="569">AVERAGE(AO77:AO78)</f>
        <v>-0.5</v>
      </c>
      <c r="AQ77" s="89">
        <v>10</v>
      </c>
      <c r="AR77" s="71">
        <f t="shared" si="504"/>
        <v>0</v>
      </c>
      <c r="AS77" s="59">
        <f t="shared" ref="AS77" si="570">AVERAGE(AR77:AR78)</f>
        <v>-0.75</v>
      </c>
      <c r="AT77" s="90">
        <v>0.52287874528033762</v>
      </c>
      <c r="AU77" s="73">
        <v>0.52287874528033762</v>
      </c>
      <c r="AV77" s="91">
        <v>0</v>
      </c>
      <c r="AW77" s="91">
        <v>-7.9181246047624804E-2</v>
      </c>
      <c r="AX77" s="75">
        <f t="shared" si="506"/>
        <v>-7.9181246047624804E-2</v>
      </c>
      <c r="AY77" s="59">
        <f t="shared" ref="AY77" si="571">AVERAGE(AX77:AX78)</f>
        <v>-3.9590623023812402E-2</v>
      </c>
      <c r="AZ77" s="91">
        <v>0.15490195998574319</v>
      </c>
      <c r="BA77" s="75">
        <f t="shared" si="508"/>
        <v>0.15490195998574319</v>
      </c>
      <c r="BB77" s="98">
        <f t="shared" ref="BB77" si="572">AVERAGE(BA77:BA78)</f>
        <v>0.1259059864968998</v>
      </c>
      <c r="BC77" s="92">
        <v>0</v>
      </c>
      <c r="BD77" s="92">
        <v>0</v>
      </c>
      <c r="BE77" s="71">
        <f t="shared" si="510"/>
        <v>0</v>
      </c>
      <c r="BF77" s="78">
        <f t="shared" ref="BF77" si="573">AVERAGE(BE77:BE78)</f>
        <v>-3.9590623023812402E-2</v>
      </c>
      <c r="BG77" s="92">
        <v>9.691001300805642E-2</v>
      </c>
      <c r="BH77" s="71">
        <f t="shared" si="512"/>
        <v>9.691001300805642E-2</v>
      </c>
      <c r="BI77" s="98">
        <f t="shared" ref="BI77" si="574">AVERAGE(BH77:BH78)</f>
        <v>9.691001300805642E-2</v>
      </c>
      <c r="BJ77" s="93">
        <v>100</v>
      </c>
      <c r="BK77" s="94">
        <v>91</v>
      </c>
    </row>
    <row r="78" spans="1:63" ht="15" customHeight="1">
      <c r="A78" s="81"/>
      <c r="B78" s="82"/>
      <c r="C78" s="132"/>
      <c r="D78" s="84"/>
      <c r="E78" s="85">
        <v>-5.5</v>
      </c>
      <c r="F78" s="59"/>
      <c r="G78" s="274"/>
      <c r="H78" s="146" t="s">
        <v>10</v>
      </c>
      <c r="I78" s="143">
        <v>24.83</v>
      </c>
      <c r="J78" s="94"/>
      <c r="K78" s="104">
        <v>24.72</v>
      </c>
      <c r="L78" s="58">
        <f t="shared" si="544"/>
        <v>-0.10999999999999943</v>
      </c>
      <c r="M78" s="59"/>
      <c r="N78" s="104">
        <v>24.73</v>
      </c>
      <c r="O78" s="60">
        <f t="shared" si="546"/>
        <v>1.0000000000001563E-2</v>
      </c>
      <c r="P78" s="56"/>
      <c r="Q78" s="104">
        <v>24.81</v>
      </c>
      <c r="R78" s="61">
        <f t="shared" si="548"/>
        <v>8.9999999999999858E-2</v>
      </c>
      <c r="S78" s="59"/>
      <c r="T78" s="104">
        <v>24.87</v>
      </c>
      <c r="U78" s="60">
        <f t="shared" si="493"/>
        <v>0.15000000000000213</v>
      </c>
      <c r="V78" s="56"/>
      <c r="W78" s="104">
        <v>24.88</v>
      </c>
      <c r="X78" s="61">
        <f t="shared" si="494"/>
        <v>0.16000000000000014</v>
      </c>
      <c r="Y78" s="59"/>
      <c r="Z78" s="61">
        <f t="shared" si="496"/>
        <v>7.0000000000000284E-2</v>
      </c>
      <c r="AA78" s="59"/>
      <c r="AB78" s="144">
        <v>2958</v>
      </c>
      <c r="AC78" s="66"/>
      <c r="AD78" s="142">
        <v>3921</v>
      </c>
      <c r="AE78" s="142">
        <v>3424</v>
      </c>
      <c r="AF78" s="71">
        <f t="shared" si="498"/>
        <v>-497</v>
      </c>
      <c r="AG78" s="78"/>
      <c r="AH78" s="87">
        <v>3355</v>
      </c>
      <c r="AI78" s="71">
        <f t="shared" si="500"/>
        <v>-566</v>
      </c>
      <c r="AJ78" s="78"/>
      <c r="AK78" s="88">
        <v>11</v>
      </c>
      <c r="AL78" s="78"/>
      <c r="AM78" s="89">
        <v>11.5</v>
      </c>
      <c r="AN78" s="89">
        <v>10</v>
      </c>
      <c r="AO78" s="70">
        <f t="shared" si="502"/>
        <v>-1.5</v>
      </c>
      <c r="AP78" s="78"/>
      <c r="AQ78" s="89">
        <v>10</v>
      </c>
      <c r="AR78" s="71">
        <f t="shared" si="504"/>
        <v>-1.5</v>
      </c>
      <c r="AS78" s="59"/>
      <c r="AT78" s="90">
        <v>0.52287874528033762</v>
      </c>
      <c r="AU78" s="73"/>
      <c r="AV78" s="91">
        <v>0</v>
      </c>
      <c r="AW78" s="91">
        <v>0</v>
      </c>
      <c r="AX78" s="75">
        <f t="shared" si="506"/>
        <v>0</v>
      </c>
      <c r="AY78" s="59"/>
      <c r="AZ78" s="91">
        <v>9.691001300805642E-2</v>
      </c>
      <c r="BA78" s="75">
        <f t="shared" si="508"/>
        <v>9.691001300805642E-2</v>
      </c>
      <c r="BB78" s="100"/>
      <c r="BC78" s="92">
        <v>0</v>
      </c>
      <c r="BD78" s="92">
        <v>-7.9181246047624804E-2</v>
      </c>
      <c r="BE78" s="71">
        <f t="shared" si="510"/>
        <v>-7.9181246047624804E-2</v>
      </c>
      <c r="BF78" s="78"/>
      <c r="BG78" s="92">
        <v>9.691001300805642E-2</v>
      </c>
      <c r="BH78" s="71">
        <f t="shared" si="512"/>
        <v>9.691001300805642E-2</v>
      </c>
      <c r="BI78" s="100"/>
      <c r="BJ78" s="93"/>
      <c r="BK78" s="94"/>
    </row>
    <row r="79" spans="1:63" ht="15" customHeight="1">
      <c r="A79" s="95">
        <v>38</v>
      </c>
      <c r="B79" s="82" t="s">
        <v>29</v>
      </c>
      <c r="C79" s="147">
        <v>12.693150684931506</v>
      </c>
      <c r="D79" s="97" t="s">
        <v>1</v>
      </c>
      <c r="E79" s="107">
        <v>-4.5</v>
      </c>
      <c r="F79" s="98">
        <f t="shared" si="0"/>
        <v>-4.625</v>
      </c>
      <c r="G79" s="275">
        <v>41818</v>
      </c>
      <c r="H79" s="108" t="s">
        <v>9</v>
      </c>
      <c r="I79" s="148">
        <v>25.34</v>
      </c>
      <c r="J79" s="131">
        <f t="shared" si="1"/>
        <v>25.535</v>
      </c>
      <c r="K79" s="110">
        <v>25.3</v>
      </c>
      <c r="L79" s="58">
        <f t="shared" si="27"/>
        <v>-3.9999999999999147E-2</v>
      </c>
      <c r="M79" s="98">
        <f t="shared" ref="M79" si="575">AVERAGE(L79:L80)</f>
        <v>-5.4999999999999716E-2</v>
      </c>
      <c r="N79" s="110">
        <v>25.29</v>
      </c>
      <c r="O79" s="60">
        <f t="shared" si="28"/>
        <v>-1.0000000000001563E-2</v>
      </c>
      <c r="P79" s="131">
        <f t="shared" ref="P79" si="576">AVERAGE(O79:O80)</f>
        <v>4.9999999999990052E-3</v>
      </c>
      <c r="Q79" s="110">
        <v>25.22</v>
      </c>
      <c r="R79" s="149">
        <f t="shared" si="29"/>
        <v>-8.0000000000001847E-2</v>
      </c>
      <c r="S79" s="150">
        <f t="shared" ref="S79" si="577">AVERAGE(R79:R80)</f>
        <v>-6.0000000000000497E-2</v>
      </c>
      <c r="T79" s="110">
        <v>25.42</v>
      </c>
      <c r="U79" s="60">
        <f t="shared" si="493"/>
        <v>0.12000000000000099</v>
      </c>
      <c r="V79" s="131">
        <f t="shared" si="6"/>
        <v>9.9999999999999645E-2</v>
      </c>
      <c r="W79" s="110">
        <v>25.32</v>
      </c>
      <c r="X79" s="61">
        <f t="shared" si="494"/>
        <v>1.9999999999999574E-2</v>
      </c>
      <c r="Y79" s="98">
        <f t="shared" ref="Y79" si="578">AVERAGE(X79:X80)</f>
        <v>3.9999999999999147E-2</v>
      </c>
      <c r="Z79" s="61">
        <f t="shared" si="496"/>
        <v>0.10000000000000142</v>
      </c>
      <c r="AA79" s="98">
        <f t="shared" ref="AA79" si="579">AVERAGE(Z79:Z80)</f>
        <v>9.9999999999999645E-2</v>
      </c>
      <c r="AB79" s="111">
        <v>3185</v>
      </c>
      <c r="AC79" s="99">
        <f t="shared" si="163"/>
        <v>3180</v>
      </c>
      <c r="AD79" s="112">
        <v>3049</v>
      </c>
      <c r="AE79" s="112">
        <v>3012</v>
      </c>
      <c r="AF79" s="71">
        <f t="shared" si="498"/>
        <v>-37</v>
      </c>
      <c r="AG79" s="78">
        <f t="shared" ref="AG79" si="580">AVERAGE(AF79:AF80)</f>
        <v>10</v>
      </c>
      <c r="AH79" s="112">
        <v>2955</v>
      </c>
      <c r="AI79" s="71">
        <f t="shared" si="500"/>
        <v>-94</v>
      </c>
      <c r="AJ79" s="78">
        <f t="shared" ref="AJ79" si="581">AVERAGE(AI79:AI80)</f>
        <v>-115.5</v>
      </c>
      <c r="AK79" s="113">
        <v>20</v>
      </c>
      <c r="AL79" s="78">
        <f t="shared" ref="AL79" si="582">AVERAGE(AK79:AK80)</f>
        <v>18.5</v>
      </c>
      <c r="AM79" s="114">
        <v>18</v>
      </c>
      <c r="AN79" s="114">
        <v>13</v>
      </c>
      <c r="AO79" s="70">
        <f t="shared" si="502"/>
        <v>-5</v>
      </c>
      <c r="AP79" s="78">
        <f t="shared" ref="AP79" si="583">AVERAGE(AO79:AO80)</f>
        <v>-4</v>
      </c>
      <c r="AQ79" s="114">
        <v>11</v>
      </c>
      <c r="AR79" s="71">
        <f t="shared" si="504"/>
        <v>-7</v>
      </c>
      <c r="AS79" s="59">
        <f t="shared" ref="AS79" si="584">AVERAGE(AR79:AR80)</f>
        <v>-5.5</v>
      </c>
      <c r="AT79" s="90">
        <v>1.2218487496163564</v>
      </c>
      <c r="AU79" s="73">
        <v>1.2218487496163564</v>
      </c>
      <c r="AV79" s="91">
        <v>0</v>
      </c>
      <c r="AW79" s="91">
        <v>0.15490195998574319</v>
      </c>
      <c r="AX79" s="75">
        <f t="shared" si="506"/>
        <v>0.15490195998574319</v>
      </c>
      <c r="AY79" s="59">
        <f t="shared" ref="AY79" si="585">AVERAGE(AX79:AX80)</f>
        <v>0.13202321470540562</v>
      </c>
      <c r="AZ79" s="91">
        <v>9.691001300805642E-2</v>
      </c>
      <c r="BA79" s="75">
        <f t="shared" si="508"/>
        <v>9.691001300805642E-2</v>
      </c>
      <c r="BB79" s="59">
        <f t="shared" ref="BB79" si="586">AVERAGE(BA79:BA80)</f>
        <v>0.10302724121656223</v>
      </c>
      <c r="BC79" s="92">
        <v>0.15490195998574319</v>
      </c>
      <c r="BD79" s="92">
        <v>0.3010299956639812</v>
      </c>
      <c r="BE79" s="71">
        <f t="shared" si="510"/>
        <v>0.14612803567823801</v>
      </c>
      <c r="BF79" s="78">
        <f t="shared" ref="BF79" si="587">AVERAGE(BE79:BE80)</f>
        <v>7.3064017839119005E-2</v>
      </c>
      <c r="BG79" s="92">
        <v>0.22184874961635639</v>
      </c>
      <c r="BH79" s="71">
        <f t="shared" si="512"/>
        <v>6.6946789630613207E-2</v>
      </c>
      <c r="BI79" s="78">
        <f t="shared" ref="BI79" si="588">AVERAGE(BH79:BH80)</f>
        <v>3.3473394815306604E-2</v>
      </c>
      <c r="BJ79" s="93">
        <v>100</v>
      </c>
      <c r="BK79" s="94">
        <v>100</v>
      </c>
    </row>
    <row r="80" spans="1:63" ht="15" customHeight="1" thickBot="1">
      <c r="A80" s="151"/>
      <c r="B80" s="152"/>
      <c r="C80" s="153"/>
      <c r="D80" s="154"/>
      <c r="E80" s="155">
        <v>-4.75</v>
      </c>
      <c r="F80" s="156"/>
      <c r="G80" s="283"/>
      <c r="H80" s="157" t="s">
        <v>10</v>
      </c>
      <c r="I80" s="158">
        <v>25.73</v>
      </c>
      <c r="J80" s="159"/>
      <c r="K80" s="157">
        <v>25.66</v>
      </c>
      <c r="L80" s="160">
        <f t="shared" si="27"/>
        <v>-7.0000000000000284E-2</v>
      </c>
      <c r="M80" s="156"/>
      <c r="N80" s="157">
        <v>25.68</v>
      </c>
      <c r="O80" s="161">
        <f t="shared" si="28"/>
        <v>1.9999999999999574E-2</v>
      </c>
      <c r="P80" s="159"/>
      <c r="Q80" s="157">
        <v>25.62</v>
      </c>
      <c r="R80" s="162">
        <f t="shared" si="29"/>
        <v>-3.9999999999999147E-2</v>
      </c>
      <c r="S80" s="163"/>
      <c r="T80" s="157">
        <v>25.74</v>
      </c>
      <c r="U80" s="161">
        <f t="shared" si="493"/>
        <v>7.9999999999998295E-2</v>
      </c>
      <c r="V80" s="159"/>
      <c r="W80" s="157">
        <v>25.72</v>
      </c>
      <c r="X80" s="164">
        <f t="shared" si="494"/>
        <v>5.9999999999998721E-2</v>
      </c>
      <c r="Y80" s="156"/>
      <c r="Z80" s="165">
        <f t="shared" si="496"/>
        <v>9.9999999999997868E-2</v>
      </c>
      <c r="AA80" s="156"/>
      <c r="AB80" s="166">
        <v>3175</v>
      </c>
      <c r="AC80" s="167"/>
      <c r="AD80" s="168">
        <v>3049</v>
      </c>
      <c r="AE80" s="168">
        <v>3106</v>
      </c>
      <c r="AF80" s="169">
        <f t="shared" si="498"/>
        <v>57</v>
      </c>
      <c r="AG80" s="170"/>
      <c r="AH80" s="168">
        <v>2912</v>
      </c>
      <c r="AI80" s="169">
        <f t="shared" si="500"/>
        <v>-137</v>
      </c>
      <c r="AJ80" s="170"/>
      <c r="AK80" s="171">
        <v>17</v>
      </c>
      <c r="AL80" s="170"/>
      <c r="AM80" s="172">
        <v>16</v>
      </c>
      <c r="AN80" s="172">
        <v>13</v>
      </c>
      <c r="AO80" s="173">
        <f t="shared" si="502"/>
        <v>-3</v>
      </c>
      <c r="AP80" s="170"/>
      <c r="AQ80" s="172">
        <v>12</v>
      </c>
      <c r="AR80" s="169">
        <f t="shared" si="504"/>
        <v>-4</v>
      </c>
      <c r="AS80" s="174"/>
      <c r="AT80" s="175">
        <v>1.2218487496163564</v>
      </c>
      <c r="AU80" s="176"/>
      <c r="AV80" s="177">
        <v>4.5757490560675143E-2</v>
      </c>
      <c r="AW80" s="177">
        <v>0.15490195998574319</v>
      </c>
      <c r="AX80" s="178">
        <f t="shared" si="506"/>
        <v>0.10914446942506804</v>
      </c>
      <c r="AY80" s="174"/>
      <c r="AZ80" s="177">
        <v>0.15490195998574319</v>
      </c>
      <c r="BA80" s="178">
        <f t="shared" si="508"/>
        <v>0.10914446942506804</v>
      </c>
      <c r="BB80" s="174"/>
      <c r="BC80" s="179">
        <v>0.15490195998574319</v>
      </c>
      <c r="BD80" s="179">
        <v>0.15490195998574319</v>
      </c>
      <c r="BE80" s="169">
        <f t="shared" si="510"/>
        <v>0</v>
      </c>
      <c r="BF80" s="170"/>
      <c r="BG80" s="179">
        <v>0.15490195998574319</v>
      </c>
      <c r="BH80" s="169">
        <f t="shared" si="512"/>
        <v>0</v>
      </c>
      <c r="BI80" s="170"/>
      <c r="BJ80" s="180"/>
      <c r="BK80" s="181"/>
    </row>
    <row r="81" spans="1:63" ht="30" customHeight="1" thickBot="1"/>
    <row r="82" spans="1:63" ht="30" customHeight="1" thickBot="1">
      <c r="A82" s="1" t="s">
        <v>45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3"/>
    </row>
    <row r="83" spans="1:63" ht="15" customHeight="1" thickBot="1">
      <c r="A83" s="185" t="s">
        <v>26</v>
      </c>
      <c r="B83" s="185" t="s">
        <v>27</v>
      </c>
      <c r="C83" s="186" t="s">
        <v>4</v>
      </c>
      <c r="D83" s="187" t="s">
        <v>35</v>
      </c>
      <c r="E83" s="12" t="s">
        <v>5</v>
      </c>
      <c r="F83" s="13"/>
      <c r="G83" s="285" t="s">
        <v>6</v>
      </c>
      <c r="H83" s="188" t="s">
        <v>8</v>
      </c>
      <c r="I83" s="15" t="s">
        <v>7</v>
      </c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7"/>
      <c r="AB83" s="189" t="s">
        <v>30</v>
      </c>
      <c r="AC83" s="190"/>
      <c r="AD83" s="190"/>
      <c r="AE83" s="190"/>
      <c r="AF83" s="190"/>
      <c r="AG83" s="190"/>
      <c r="AH83" s="190"/>
      <c r="AI83" s="190"/>
      <c r="AJ83" s="191"/>
      <c r="AK83" s="192" t="s">
        <v>33</v>
      </c>
      <c r="AL83" s="192"/>
      <c r="AM83" s="192"/>
      <c r="AN83" s="192"/>
      <c r="AO83" s="192"/>
      <c r="AP83" s="192"/>
      <c r="AQ83" s="192"/>
      <c r="AR83" s="192"/>
      <c r="AS83" s="193"/>
      <c r="AT83" s="190" t="s">
        <v>50</v>
      </c>
      <c r="AU83" s="190"/>
      <c r="AV83" s="190"/>
      <c r="AW83" s="190"/>
      <c r="AX83" s="190"/>
      <c r="AY83" s="190"/>
      <c r="AZ83" s="190"/>
      <c r="BA83" s="190"/>
      <c r="BB83" s="191"/>
      <c r="BC83" s="190" t="s">
        <v>51</v>
      </c>
      <c r="BD83" s="190"/>
      <c r="BE83" s="190"/>
      <c r="BF83" s="190"/>
      <c r="BG83" s="190"/>
      <c r="BH83" s="190"/>
      <c r="BI83" s="190"/>
      <c r="BJ83" s="189" t="s">
        <v>53</v>
      </c>
      <c r="BK83" s="191"/>
    </row>
    <row r="84" spans="1:63" ht="15" customHeight="1" thickBot="1">
      <c r="A84" s="194"/>
      <c r="B84" s="194"/>
      <c r="C84" s="26"/>
      <c r="D84" s="27"/>
      <c r="E84" s="28"/>
      <c r="F84" s="29"/>
      <c r="G84" s="269"/>
      <c r="H84" s="30"/>
      <c r="I84" s="195" t="s">
        <v>12</v>
      </c>
      <c r="J84" s="196"/>
      <c r="K84" s="31" t="s">
        <v>13</v>
      </c>
      <c r="L84" s="32" t="s">
        <v>15</v>
      </c>
      <c r="M84" s="33"/>
      <c r="N84" s="31" t="s">
        <v>18</v>
      </c>
      <c r="O84" s="34" t="s">
        <v>19</v>
      </c>
      <c r="P84" s="35"/>
      <c r="Q84" s="31" t="s">
        <v>16</v>
      </c>
      <c r="R84" s="36" t="s">
        <v>17</v>
      </c>
      <c r="S84" s="37"/>
      <c r="T84" s="31" t="s">
        <v>20</v>
      </c>
      <c r="U84" s="34" t="s">
        <v>21</v>
      </c>
      <c r="V84" s="35"/>
      <c r="W84" s="31" t="s">
        <v>22</v>
      </c>
      <c r="X84" s="36" t="s">
        <v>24</v>
      </c>
      <c r="Y84" s="37"/>
      <c r="Z84" s="36" t="s">
        <v>25</v>
      </c>
      <c r="AA84" s="37"/>
      <c r="AB84" s="38" t="s">
        <v>11</v>
      </c>
      <c r="AC84" s="33"/>
      <c r="AD84" s="40" t="s">
        <v>34</v>
      </c>
      <c r="AE84" s="197" t="s">
        <v>16</v>
      </c>
      <c r="AF84" s="36" t="s">
        <v>17</v>
      </c>
      <c r="AG84" s="37"/>
      <c r="AH84" s="197" t="s">
        <v>22</v>
      </c>
      <c r="AI84" s="36" t="s">
        <v>23</v>
      </c>
      <c r="AJ84" s="37"/>
      <c r="AK84" s="38" t="s">
        <v>11</v>
      </c>
      <c r="AL84" s="33"/>
      <c r="AM84" s="40" t="s">
        <v>34</v>
      </c>
      <c r="AN84" s="41" t="s">
        <v>16</v>
      </c>
      <c r="AO84" s="36" t="s">
        <v>17</v>
      </c>
      <c r="AP84" s="37"/>
      <c r="AQ84" s="41" t="s">
        <v>22</v>
      </c>
      <c r="AR84" s="36" t="s">
        <v>23</v>
      </c>
      <c r="AS84" s="37"/>
      <c r="AT84" s="42" t="s">
        <v>12</v>
      </c>
      <c r="AU84" s="33"/>
      <c r="AV84" s="43" t="s">
        <v>34</v>
      </c>
      <c r="AW84" s="43" t="s">
        <v>48</v>
      </c>
      <c r="AX84" s="36" t="s">
        <v>17</v>
      </c>
      <c r="AY84" s="37"/>
      <c r="AZ84" s="43" t="s">
        <v>49</v>
      </c>
      <c r="BA84" s="36" t="s">
        <v>23</v>
      </c>
      <c r="BB84" s="37"/>
      <c r="BC84" s="198" t="s">
        <v>34</v>
      </c>
      <c r="BD84" s="199" t="s">
        <v>48</v>
      </c>
      <c r="BE84" s="32" t="s">
        <v>17</v>
      </c>
      <c r="BF84" s="33"/>
      <c r="BG84" s="199" t="s">
        <v>49</v>
      </c>
      <c r="BH84" s="32" t="s">
        <v>24</v>
      </c>
      <c r="BI84" s="33"/>
      <c r="BJ84" s="197" t="s">
        <v>54</v>
      </c>
      <c r="BK84" s="46" t="s">
        <v>55</v>
      </c>
    </row>
    <row r="85" spans="1:63" ht="15" customHeight="1">
      <c r="A85" s="200">
        <v>1</v>
      </c>
      <c r="B85" s="201" t="s">
        <v>28</v>
      </c>
      <c r="C85" s="202">
        <v>9.1095890410958908</v>
      </c>
      <c r="D85" s="106" t="s">
        <v>1</v>
      </c>
      <c r="E85" s="203">
        <v>-1.5</v>
      </c>
      <c r="F85" s="100">
        <f>AVERAGE(E85:E86)</f>
        <v>-1.5</v>
      </c>
      <c r="G85" s="286">
        <v>41852</v>
      </c>
      <c r="H85" s="139" t="s">
        <v>46</v>
      </c>
      <c r="I85" s="204">
        <v>23.41</v>
      </c>
      <c r="J85" s="205">
        <f>AVERAGE(I85:I86)</f>
        <v>23.324999999999999</v>
      </c>
      <c r="K85" s="104">
        <v>23.4</v>
      </c>
      <c r="L85" s="145">
        <f t="shared" ref="L85:L154" si="589">K85-I85</f>
        <v>-1.0000000000001563E-2</v>
      </c>
      <c r="M85" s="100">
        <f t="shared" ref="M85" si="590">AVERAGE(L85:L86)</f>
        <v>2.5000000000000355E-2</v>
      </c>
      <c r="N85" s="104">
        <v>23.52</v>
      </c>
      <c r="O85" s="206">
        <f t="shared" ref="O85:O154" si="591">N85-K85</f>
        <v>0.12000000000000099</v>
      </c>
      <c r="P85" s="207">
        <f t="shared" ref="P85" si="592">AVERAGE(O85:O86)</f>
        <v>0.16500000000000092</v>
      </c>
      <c r="Q85" s="104">
        <v>23.56</v>
      </c>
      <c r="R85" s="208">
        <f t="shared" ref="R85:R148" si="593">Q85-K85</f>
        <v>0.16000000000000014</v>
      </c>
      <c r="S85" s="100">
        <f>AVERAGE(R85:R86)</f>
        <v>0.19999999999999929</v>
      </c>
      <c r="T85" s="104">
        <v>23.73</v>
      </c>
      <c r="U85" s="206">
        <f t="shared" ref="U85:U116" si="594">T85-K85</f>
        <v>0.33000000000000185</v>
      </c>
      <c r="V85" s="209">
        <f t="shared" ref="V85:V153" si="595">AVERAGE(U85:U86)</f>
        <v>0.33000000000000007</v>
      </c>
      <c r="W85" s="104">
        <v>23.77</v>
      </c>
      <c r="X85" s="208">
        <f t="shared" ref="X85:X116" si="596">W85-K85</f>
        <v>0.37000000000000099</v>
      </c>
      <c r="Y85" s="100">
        <f t="shared" ref="Y85" si="597">AVERAGE(X85:X86)</f>
        <v>0.34999999999999964</v>
      </c>
      <c r="Z85" s="208">
        <f t="shared" ref="Z85:Z116" si="598">W85-Q85</f>
        <v>0.21000000000000085</v>
      </c>
      <c r="AA85" s="100">
        <f t="shared" ref="AA85" si="599">AVERAGE(Z85:Z86)</f>
        <v>0.15000000000000036</v>
      </c>
      <c r="AB85" s="63">
        <v>3331</v>
      </c>
      <c r="AC85" s="64">
        <f>AVERAGE(AB85:AB86)</f>
        <v>3252.5</v>
      </c>
      <c r="AD85" s="210">
        <v>3164</v>
      </c>
      <c r="AE85" s="210">
        <v>2906</v>
      </c>
      <c r="AF85" s="63">
        <f t="shared" ref="AF85:AF116" si="600">AE85-AD85</f>
        <v>-258</v>
      </c>
      <c r="AG85" s="64">
        <f t="shared" ref="AG85" si="601">AVERAGE(AF85:AF86)</f>
        <v>-177</v>
      </c>
      <c r="AH85" s="210">
        <v>3205</v>
      </c>
      <c r="AI85" s="63">
        <f t="shared" ref="AI85:AI116" si="602">AH85-AD85</f>
        <v>41</v>
      </c>
      <c r="AJ85" s="211">
        <f t="shared" ref="AJ85" si="603">AVERAGE(AI85:AI86)</f>
        <v>40.5</v>
      </c>
      <c r="AK85" s="212">
        <v>13</v>
      </c>
      <c r="AL85" s="66">
        <f>AVERAGE(AK85:AK86)</f>
        <v>14.25</v>
      </c>
      <c r="AM85" s="213">
        <v>11</v>
      </c>
      <c r="AN85" s="213">
        <v>12.7</v>
      </c>
      <c r="AO85" s="214">
        <f t="shared" ref="AO85:AO116" si="604">AN85-AM85</f>
        <v>1.6999999999999993</v>
      </c>
      <c r="AP85" s="66">
        <f t="shared" ref="AP85" si="605">AVERAGE(AO85:AO86)</f>
        <v>0.25</v>
      </c>
      <c r="AQ85" s="213">
        <v>11.5</v>
      </c>
      <c r="AR85" s="63">
        <f t="shared" ref="AR85:AR116" si="606">AQ85-AM85</f>
        <v>0.5</v>
      </c>
      <c r="AS85" s="100">
        <f t="shared" ref="AS85" si="607">AVERAGE(AR85:AR86)</f>
        <v>-0.25</v>
      </c>
      <c r="AT85" s="215">
        <v>0.52287874528033762</v>
      </c>
      <c r="AU85" s="100">
        <v>0.41195437047215944</v>
      </c>
      <c r="AV85" s="216">
        <v>4.5757490560675143E-2</v>
      </c>
      <c r="AW85" s="217">
        <v>-7.9181246047624804E-2</v>
      </c>
      <c r="AX85" s="218">
        <f t="shared" ref="AX85:AX116" si="608">AW85-AV85</f>
        <v>-0.12493873660829995</v>
      </c>
      <c r="AY85" s="100">
        <f t="shared" ref="AY85" si="609">AVERAGE(AX85:AX86)</f>
        <v>0</v>
      </c>
      <c r="AZ85" s="217">
        <v>4.5757490560675143E-2</v>
      </c>
      <c r="BA85" s="218">
        <f t="shared" ref="BA85:BA116" si="610">AZ85-AV85</f>
        <v>0</v>
      </c>
      <c r="BB85" s="100">
        <f t="shared" ref="BB85" si="611">AVERAGE(BA85:BA86)</f>
        <v>3.9590623023812402E-2</v>
      </c>
      <c r="BC85" s="219">
        <v>0</v>
      </c>
      <c r="BD85" s="220">
        <v>-7.9181246047624804E-2</v>
      </c>
      <c r="BE85" s="63">
        <f t="shared" ref="BE85:BE116" si="612">BD85-BC85</f>
        <v>-7.9181246047624804E-2</v>
      </c>
      <c r="BF85" s="100">
        <f t="shared" ref="BF85" si="613">AVERAGE(BE85:BE86)</f>
        <v>-7.9181246047624804E-2</v>
      </c>
      <c r="BG85" s="221">
        <v>0</v>
      </c>
      <c r="BH85" s="63">
        <f t="shared" ref="BH85:BH116" si="614">BG85-BC85</f>
        <v>0</v>
      </c>
      <c r="BI85" s="66">
        <f t="shared" ref="BI85" si="615">AVERAGE(BH85:BH86)</f>
        <v>0</v>
      </c>
      <c r="BJ85" s="222">
        <v>100</v>
      </c>
      <c r="BK85" s="223"/>
    </row>
    <row r="86" spans="1:63" ht="15" customHeight="1">
      <c r="A86" s="224"/>
      <c r="B86" s="82"/>
      <c r="C86" s="132"/>
      <c r="D86" s="84"/>
      <c r="E86" s="85">
        <v>-1.5</v>
      </c>
      <c r="F86" s="59"/>
      <c r="G86" s="287"/>
      <c r="H86" s="54" t="s">
        <v>47</v>
      </c>
      <c r="I86" s="225">
        <v>23.24</v>
      </c>
      <c r="J86" s="73"/>
      <c r="K86" s="86">
        <v>23.3</v>
      </c>
      <c r="L86" s="58">
        <f t="shared" si="589"/>
        <v>6.0000000000002274E-2</v>
      </c>
      <c r="M86" s="59"/>
      <c r="N86" s="86">
        <v>23.51</v>
      </c>
      <c r="O86" s="60">
        <f t="shared" si="591"/>
        <v>0.21000000000000085</v>
      </c>
      <c r="P86" s="226"/>
      <c r="Q86" s="86">
        <v>23.54</v>
      </c>
      <c r="R86" s="227">
        <f t="shared" si="593"/>
        <v>0.23999999999999844</v>
      </c>
      <c r="S86" s="59"/>
      <c r="T86" s="86">
        <v>23.63</v>
      </c>
      <c r="U86" s="60">
        <f t="shared" si="594"/>
        <v>0.32999999999999829</v>
      </c>
      <c r="V86" s="56"/>
      <c r="W86" s="86">
        <v>23.63</v>
      </c>
      <c r="X86" s="61">
        <f t="shared" si="596"/>
        <v>0.32999999999999829</v>
      </c>
      <c r="Y86" s="59"/>
      <c r="Z86" s="61">
        <f t="shared" si="598"/>
        <v>8.9999999999999858E-2</v>
      </c>
      <c r="AA86" s="59"/>
      <c r="AB86" s="71">
        <v>3174</v>
      </c>
      <c r="AC86" s="66"/>
      <c r="AD86" s="87">
        <v>3144</v>
      </c>
      <c r="AE86" s="87">
        <v>3048</v>
      </c>
      <c r="AF86" s="71">
        <f t="shared" si="600"/>
        <v>-96</v>
      </c>
      <c r="AG86" s="66"/>
      <c r="AH86" s="87">
        <v>3184</v>
      </c>
      <c r="AI86" s="71">
        <f t="shared" si="602"/>
        <v>40</v>
      </c>
      <c r="AJ86" s="100"/>
      <c r="AK86" s="88">
        <v>15.5</v>
      </c>
      <c r="AL86" s="78"/>
      <c r="AM86" s="89">
        <v>12.5</v>
      </c>
      <c r="AN86" s="89">
        <v>11.3</v>
      </c>
      <c r="AO86" s="214">
        <f t="shared" si="604"/>
        <v>-1.1999999999999993</v>
      </c>
      <c r="AP86" s="78"/>
      <c r="AQ86" s="89">
        <v>11.5</v>
      </c>
      <c r="AR86" s="63">
        <f t="shared" si="606"/>
        <v>-1</v>
      </c>
      <c r="AS86" s="59"/>
      <c r="AT86" s="215">
        <v>0.3010299956639812</v>
      </c>
      <c r="AU86" s="59"/>
      <c r="AV86" s="228">
        <v>-7.9181246047624804E-2</v>
      </c>
      <c r="AW86" s="217">
        <v>4.5757490560675143E-2</v>
      </c>
      <c r="AX86" s="75">
        <f t="shared" si="608"/>
        <v>0.12493873660829995</v>
      </c>
      <c r="AY86" s="59"/>
      <c r="AZ86" s="217">
        <v>0</v>
      </c>
      <c r="BA86" s="75">
        <f t="shared" si="610"/>
        <v>7.9181246047624804E-2</v>
      </c>
      <c r="BB86" s="59"/>
      <c r="BC86" s="229">
        <v>0</v>
      </c>
      <c r="BD86" s="91">
        <v>-7.9181246047624804E-2</v>
      </c>
      <c r="BE86" s="75">
        <f t="shared" si="612"/>
        <v>-7.9181246047624804E-2</v>
      </c>
      <c r="BF86" s="59"/>
      <c r="BG86" s="228">
        <v>0</v>
      </c>
      <c r="BH86" s="75">
        <f t="shared" si="614"/>
        <v>0</v>
      </c>
      <c r="BI86" s="78"/>
      <c r="BJ86" s="230"/>
      <c r="BK86" s="93"/>
    </row>
    <row r="87" spans="1:63" ht="15" customHeight="1">
      <c r="A87" s="231">
        <v>2</v>
      </c>
      <c r="B87" s="82" t="s">
        <v>28</v>
      </c>
      <c r="C87" s="232">
        <v>8.0520547945205472</v>
      </c>
      <c r="D87" s="97" t="s">
        <v>0</v>
      </c>
      <c r="E87" s="85">
        <v>-2.25</v>
      </c>
      <c r="F87" s="100">
        <f t="shared" ref="F87" si="616">AVERAGE(E87:E88)</f>
        <v>-2.375</v>
      </c>
      <c r="G87" s="288">
        <v>42133</v>
      </c>
      <c r="H87" s="54" t="s">
        <v>9</v>
      </c>
      <c r="I87" s="225">
        <v>25.86</v>
      </c>
      <c r="J87" s="205">
        <f t="shared" ref="J87" si="617">AVERAGE(I87:I88)</f>
        <v>25.810000000000002</v>
      </c>
      <c r="K87" s="86">
        <v>25.85</v>
      </c>
      <c r="L87" s="58">
        <f t="shared" si="589"/>
        <v>-9.9999999999980105E-3</v>
      </c>
      <c r="M87" s="100">
        <f t="shared" ref="M87" si="618">AVERAGE(L87:L88)</f>
        <v>-1.9999999999999574E-2</v>
      </c>
      <c r="N87" s="86">
        <v>25.99</v>
      </c>
      <c r="O87" s="60">
        <f t="shared" si="591"/>
        <v>0.13999999999999702</v>
      </c>
      <c r="P87" s="233">
        <f t="shared" ref="P87" si="619">AVERAGE(O87:O88)</f>
        <v>0.15499999999999758</v>
      </c>
      <c r="Q87" s="86">
        <v>26.05</v>
      </c>
      <c r="R87" s="227">
        <f t="shared" si="593"/>
        <v>0.19999999999999929</v>
      </c>
      <c r="S87" s="59">
        <f t="shared" ref="S87:AL101" si="620">AVERAGE(R87:R88)</f>
        <v>0.20500000000000007</v>
      </c>
      <c r="T87" s="86">
        <v>26.24</v>
      </c>
      <c r="U87" s="60">
        <f t="shared" si="594"/>
        <v>0.38999999999999702</v>
      </c>
      <c r="V87" s="56">
        <f t="shared" si="595"/>
        <v>0.36499999999999844</v>
      </c>
      <c r="W87" s="86">
        <v>26.26</v>
      </c>
      <c r="X87" s="61">
        <f t="shared" si="596"/>
        <v>0.41000000000000014</v>
      </c>
      <c r="Y87" s="59">
        <f t="shared" ref="Y87" si="621">AVERAGE(X87:X88)</f>
        <v>0.41999999999999993</v>
      </c>
      <c r="Z87" s="61">
        <f t="shared" si="598"/>
        <v>0.21000000000000085</v>
      </c>
      <c r="AA87" s="59">
        <f t="shared" ref="AA87" si="622">AVERAGE(Z87:Z88)</f>
        <v>0.21499999999999986</v>
      </c>
      <c r="AB87" s="71">
        <v>3389</v>
      </c>
      <c r="AC87" s="99">
        <f t="shared" ref="AC87" si="623">AVERAGE(AB87:AB88)</f>
        <v>3372</v>
      </c>
      <c r="AD87" s="87">
        <v>3717</v>
      </c>
      <c r="AE87" s="87">
        <v>3521</v>
      </c>
      <c r="AF87" s="71">
        <f t="shared" si="600"/>
        <v>-196</v>
      </c>
      <c r="AG87" s="99">
        <f t="shared" ref="AG87" si="624">AVERAGE(AF87:AF88)</f>
        <v>-256.5</v>
      </c>
      <c r="AH87" s="87">
        <v>3021</v>
      </c>
      <c r="AI87" s="71">
        <f t="shared" si="602"/>
        <v>-696</v>
      </c>
      <c r="AJ87" s="98">
        <f t="shared" ref="AJ87" si="625">AVERAGE(AI87:AI88)</f>
        <v>-563</v>
      </c>
      <c r="AK87" s="88">
        <v>13</v>
      </c>
      <c r="AL87" s="78">
        <f t="shared" si="620"/>
        <v>13</v>
      </c>
      <c r="AM87" s="89">
        <v>13</v>
      </c>
      <c r="AN87" s="89">
        <v>12</v>
      </c>
      <c r="AO87" s="214">
        <f t="shared" si="604"/>
        <v>-1</v>
      </c>
      <c r="AP87" s="78">
        <f t="shared" ref="AP87" si="626">AVERAGE(AO87:AO88)</f>
        <v>-1.5</v>
      </c>
      <c r="AQ87" s="89">
        <v>11</v>
      </c>
      <c r="AR87" s="63">
        <f t="shared" si="606"/>
        <v>-2</v>
      </c>
      <c r="AS87" s="59">
        <f t="shared" ref="AS87" si="627">AVERAGE(AR87:AR88)</f>
        <v>-1.6500000000000004</v>
      </c>
      <c r="AT87" s="215">
        <v>1</v>
      </c>
      <c r="AU87" s="59">
        <v>0.84948500216800937</v>
      </c>
      <c r="AV87" s="216">
        <v>-7.9181246047624804E-2</v>
      </c>
      <c r="AW87" s="217">
        <v>4.5757490560675143E-2</v>
      </c>
      <c r="AX87" s="75">
        <f t="shared" si="608"/>
        <v>0.12493873660829995</v>
      </c>
      <c r="AY87" s="59">
        <f t="shared" ref="AY87" si="628">AVERAGE(AX87:AX88)</f>
        <v>0.10205999132796237</v>
      </c>
      <c r="AZ87" s="217">
        <v>9.691001300805642E-2</v>
      </c>
      <c r="BA87" s="75">
        <f t="shared" si="610"/>
        <v>0.17609125905568124</v>
      </c>
      <c r="BB87" s="59">
        <f t="shared" ref="BB87" si="629">AVERAGE(BA87:BA88)</f>
        <v>8.8045629527840619E-2</v>
      </c>
      <c r="BC87" s="229">
        <v>-7.9181246047624804E-2</v>
      </c>
      <c r="BD87" s="91">
        <v>0</v>
      </c>
      <c r="BE87" s="75">
        <f t="shared" si="612"/>
        <v>7.9181246047624804E-2</v>
      </c>
      <c r="BF87" s="59">
        <f t="shared" ref="BF87" si="630">AVERAGE(BE87:BE88)</f>
        <v>3.9590623023812402E-2</v>
      </c>
      <c r="BG87" s="228">
        <v>0</v>
      </c>
      <c r="BH87" s="75">
        <f t="shared" si="614"/>
        <v>7.9181246047624804E-2</v>
      </c>
      <c r="BI87" s="78">
        <f t="shared" ref="BI87" si="631">AVERAGE(BH87:BH88)</f>
        <v>7.9181246047624804E-2</v>
      </c>
      <c r="BJ87" s="230">
        <v>94</v>
      </c>
      <c r="BK87" s="93"/>
    </row>
    <row r="88" spans="1:63" ht="15" customHeight="1">
      <c r="A88" s="224"/>
      <c r="B88" s="82"/>
      <c r="C88" s="234"/>
      <c r="D88" s="84"/>
      <c r="E88" s="85">
        <v>-2.5</v>
      </c>
      <c r="F88" s="59"/>
      <c r="G88" s="287"/>
      <c r="H88" s="86" t="s">
        <v>10</v>
      </c>
      <c r="I88" s="225">
        <v>25.76</v>
      </c>
      <c r="J88" s="73"/>
      <c r="K88" s="86">
        <v>25.73</v>
      </c>
      <c r="L88" s="58">
        <f t="shared" si="589"/>
        <v>-3.0000000000001137E-2</v>
      </c>
      <c r="M88" s="59"/>
      <c r="N88" s="86">
        <v>25.9</v>
      </c>
      <c r="O88" s="60">
        <f t="shared" si="591"/>
        <v>0.16999999999999815</v>
      </c>
      <c r="P88" s="226"/>
      <c r="Q88" s="86">
        <v>25.94</v>
      </c>
      <c r="R88" s="229">
        <f t="shared" si="593"/>
        <v>0.21000000000000085</v>
      </c>
      <c r="S88" s="59"/>
      <c r="T88" s="86">
        <v>26.07</v>
      </c>
      <c r="U88" s="60">
        <f t="shared" si="594"/>
        <v>0.33999999999999986</v>
      </c>
      <c r="V88" s="56"/>
      <c r="W88" s="86">
        <v>26.16</v>
      </c>
      <c r="X88" s="61">
        <f t="shared" si="596"/>
        <v>0.42999999999999972</v>
      </c>
      <c r="Y88" s="59"/>
      <c r="Z88" s="61">
        <f t="shared" si="598"/>
        <v>0.21999999999999886</v>
      </c>
      <c r="AA88" s="59"/>
      <c r="AB88" s="71">
        <v>3355</v>
      </c>
      <c r="AC88" s="66"/>
      <c r="AD88" s="87">
        <v>3584</v>
      </c>
      <c r="AE88" s="87">
        <v>3267</v>
      </c>
      <c r="AF88" s="71">
        <f t="shared" si="600"/>
        <v>-317</v>
      </c>
      <c r="AG88" s="66"/>
      <c r="AH88" s="142">
        <v>3154</v>
      </c>
      <c r="AI88" s="71">
        <f t="shared" si="602"/>
        <v>-430</v>
      </c>
      <c r="AJ88" s="100"/>
      <c r="AK88" s="88">
        <v>13</v>
      </c>
      <c r="AL88" s="78"/>
      <c r="AM88" s="89">
        <v>13</v>
      </c>
      <c r="AN88" s="89">
        <v>11</v>
      </c>
      <c r="AO88" s="214">
        <f t="shared" si="604"/>
        <v>-2</v>
      </c>
      <c r="AP88" s="78"/>
      <c r="AQ88" s="89">
        <v>11.7</v>
      </c>
      <c r="AR88" s="63">
        <f t="shared" si="606"/>
        <v>-1.3000000000000007</v>
      </c>
      <c r="AS88" s="59"/>
      <c r="AT88" s="235">
        <v>0.69897000433601886</v>
      </c>
      <c r="AU88" s="59"/>
      <c r="AV88" s="236">
        <v>-7.9181246047624804E-2</v>
      </c>
      <c r="AW88" s="237">
        <v>0</v>
      </c>
      <c r="AX88" s="75">
        <f t="shared" si="608"/>
        <v>7.9181246047624804E-2</v>
      </c>
      <c r="AY88" s="59"/>
      <c r="AZ88" s="237">
        <v>-7.9181246047624804E-2</v>
      </c>
      <c r="BA88" s="75">
        <f t="shared" si="610"/>
        <v>0</v>
      </c>
      <c r="BB88" s="59"/>
      <c r="BC88" s="229">
        <v>-7.9181246047624804E-2</v>
      </c>
      <c r="BD88" s="91">
        <v>-7.9181246047624804E-2</v>
      </c>
      <c r="BE88" s="75">
        <f t="shared" si="612"/>
        <v>0</v>
      </c>
      <c r="BF88" s="59"/>
      <c r="BG88" s="228">
        <v>0</v>
      </c>
      <c r="BH88" s="75">
        <f t="shared" si="614"/>
        <v>7.9181246047624804E-2</v>
      </c>
      <c r="BI88" s="78"/>
      <c r="BJ88" s="230"/>
      <c r="BK88" s="93"/>
    </row>
    <row r="89" spans="1:63" ht="15" customHeight="1">
      <c r="A89" s="200">
        <v>3</v>
      </c>
      <c r="B89" s="82" t="s">
        <v>28</v>
      </c>
      <c r="C89" s="232">
        <v>8.6438356164383556</v>
      </c>
      <c r="D89" s="97" t="s">
        <v>1</v>
      </c>
      <c r="E89" s="203">
        <v>-1.5</v>
      </c>
      <c r="F89" s="100">
        <f t="shared" ref="F89" si="632">AVERAGE(E89:E90)</f>
        <v>-1.875</v>
      </c>
      <c r="G89" s="286">
        <v>42296</v>
      </c>
      <c r="H89" s="139" t="s">
        <v>9</v>
      </c>
      <c r="I89" s="204">
        <v>23.3</v>
      </c>
      <c r="J89" s="205">
        <f>AVERAGE(I89:I90)</f>
        <v>23.365000000000002</v>
      </c>
      <c r="K89" s="104">
        <v>23.43</v>
      </c>
      <c r="L89" s="58">
        <f t="shared" si="589"/>
        <v>0.12999999999999901</v>
      </c>
      <c r="M89" s="100">
        <f t="shared" ref="M89:M91" si="633">AVERAGE(L89:L90)</f>
        <v>0.125</v>
      </c>
      <c r="N89" s="104">
        <v>23.57</v>
      </c>
      <c r="O89" s="60">
        <f t="shared" si="591"/>
        <v>0.14000000000000057</v>
      </c>
      <c r="P89" s="233">
        <f t="shared" ref="P89" si="634">AVERAGE(O89:O90)</f>
        <v>0.11999999999999922</v>
      </c>
      <c r="Q89" s="104">
        <v>23.78</v>
      </c>
      <c r="R89" s="238">
        <f t="shared" si="593"/>
        <v>0.35000000000000142</v>
      </c>
      <c r="S89" s="100">
        <f>AVERAGE(R89:R90)</f>
        <v>0.29000000000000092</v>
      </c>
      <c r="T89" s="86">
        <v>23.85</v>
      </c>
      <c r="U89" s="60">
        <f t="shared" si="594"/>
        <v>0.42000000000000171</v>
      </c>
      <c r="V89" s="56">
        <f t="shared" ref="V89" si="635">AVERAGE(U89:U90)</f>
        <v>0.40000000000000036</v>
      </c>
      <c r="W89" s="86">
        <v>23.97</v>
      </c>
      <c r="X89" s="61">
        <f t="shared" si="596"/>
        <v>0.53999999999999915</v>
      </c>
      <c r="Y89" s="59">
        <f t="shared" ref="Y89" si="636">AVERAGE(X89:X90)</f>
        <v>0.51499999999999879</v>
      </c>
      <c r="Z89" s="61">
        <f t="shared" si="598"/>
        <v>0.18999999999999773</v>
      </c>
      <c r="AA89" s="59">
        <f t="shared" ref="AA89" si="637">AVERAGE(Z89:Z90)</f>
        <v>0.22499999999999787</v>
      </c>
      <c r="AB89" s="63">
        <v>3174</v>
      </c>
      <c r="AC89" s="99">
        <f t="shared" ref="AC89" si="638">AVERAGE(AB89:AB90)</f>
        <v>3061.5</v>
      </c>
      <c r="AD89" s="210">
        <v>2840</v>
      </c>
      <c r="AE89" s="87">
        <v>3194</v>
      </c>
      <c r="AF89" s="71">
        <f t="shared" si="600"/>
        <v>354</v>
      </c>
      <c r="AG89" s="99">
        <f t="shared" ref="AG89" si="639">AVERAGE(AF89:AF90)</f>
        <v>413.5</v>
      </c>
      <c r="AH89" s="87">
        <v>3448</v>
      </c>
      <c r="AI89" s="71">
        <f t="shared" si="602"/>
        <v>608</v>
      </c>
      <c r="AJ89" s="98">
        <f t="shared" ref="AJ89" si="640">AVERAGE(AI89:AI90)</f>
        <v>310</v>
      </c>
      <c r="AK89" s="88">
        <v>13.5</v>
      </c>
      <c r="AL89" s="78">
        <f t="shared" si="620"/>
        <v>13.25</v>
      </c>
      <c r="AM89" s="89">
        <v>16</v>
      </c>
      <c r="AN89" s="89">
        <v>10.3</v>
      </c>
      <c r="AO89" s="214">
        <f t="shared" si="604"/>
        <v>-5.6999999999999993</v>
      </c>
      <c r="AP89" s="78">
        <f t="shared" ref="AP89" si="641">AVERAGE(AO89:AO90)</f>
        <v>-4.1999999999999993</v>
      </c>
      <c r="AQ89" s="89">
        <v>12.5</v>
      </c>
      <c r="AR89" s="63">
        <f t="shared" si="606"/>
        <v>-3.5</v>
      </c>
      <c r="AS89" s="59">
        <f t="shared" ref="AS89" si="642">AVERAGE(AR89:AR90)</f>
        <v>-2.5</v>
      </c>
      <c r="AT89" s="215">
        <v>0.69897000433601886</v>
      </c>
      <c r="AU89" s="59">
        <v>0.84948500216800937</v>
      </c>
      <c r="AV89" s="216">
        <v>-7.9181246047624804E-2</v>
      </c>
      <c r="AW89" s="217">
        <v>-7.9181246047624804E-2</v>
      </c>
      <c r="AX89" s="75">
        <f t="shared" si="608"/>
        <v>0</v>
      </c>
      <c r="AY89" s="59">
        <f t="shared" ref="AY89" si="643">AVERAGE(AX89:AX90)</f>
        <v>0</v>
      </c>
      <c r="AZ89" s="217">
        <v>-7.9181246047624804E-2</v>
      </c>
      <c r="BA89" s="75">
        <f t="shared" si="610"/>
        <v>0</v>
      </c>
      <c r="BB89" s="59">
        <f t="shared" ref="BB89" si="644">AVERAGE(BA89:BA90)</f>
        <v>8.8045629527840619E-2</v>
      </c>
      <c r="BC89" s="229">
        <v>-7.9181246047624804E-2</v>
      </c>
      <c r="BD89" s="91">
        <v>-7.9181246047624804E-2</v>
      </c>
      <c r="BE89" s="75">
        <f t="shared" si="612"/>
        <v>0</v>
      </c>
      <c r="BF89" s="59">
        <f t="shared" ref="BF89" si="645">AVERAGE(BE89:BE90)</f>
        <v>0</v>
      </c>
      <c r="BG89" s="228">
        <v>4.5757490560675143E-2</v>
      </c>
      <c r="BH89" s="75">
        <f t="shared" si="614"/>
        <v>0.12493873660829995</v>
      </c>
      <c r="BI89" s="78">
        <f t="shared" ref="BI89" si="646">AVERAGE(BH89:BH90)</f>
        <v>0.12493873660829995</v>
      </c>
      <c r="BJ89" s="230">
        <v>100</v>
      </c>
      <c r="BK89" s="93"/>
    </row>
    <row r="90" spans="1:63" ht="15" customHeight="1">
      <c r="A90" s="224"/>
      <c r="B90" s="82"/>
      <c r="C90" s="234"/>
      <c r="D90" s="84"/>
      <c r="E90" s="85">
        <v>-2.25</v>
      </c>
      <c r="F90" s="59"/>
      <c r="G90" s="287"/>
      <c r="H90" s="54" t="s">
        <v>10</v>
      </c>
      <c r="I90" s="225">
        <v>23.43</v>
      </c>
      <c r="J90" s="73"/>
      <c r="K90" s="86">
        <v>23.55</v>
      </c>
      <c r="L90" s="58">
        <f t="shared" si="589"/>
        <v>0.12000000000000099</v>
      </c>
      <c r="M90" s="59"/>
      <c r="N90" s="86">
        <v>23.65</v>
      </c>
      <c r="O90" s="60">
        <f t="shared" si="591"/>
        <v>9.9999999999997868E-2</v>
      </c>
      <c r="P90" s="226"/>
      <c r="Q90" s="86">
        <v>23.78</v>
      </c>
      <c r="R90" s="227">
        <f t="shared" si="593"/>
        <v>0.23000000000000043</v>
      </c>
      <c r="S90" s="59"/>
      <c r="T90" s="86">
        <v>23.93</v>
      </c>
      <c r="U90" s="60">
        <f t="shared" si="594"/>
        <v>0.37999999999999901</v>
      </c>
      <c r="V90" s="56"/>
      <c r="W90" s="86">
        <v>24.04</v>
      </c>
      <c r="X90" s="61">
        <f t="shared" si="596"/>
        <v>0.48999999999999844</v>
      </c>
      <c r="Y90" s="59"/>
      <c r="Z90" s="61">
        <f t="shared" si="598"/>
        <v>0.25999999999999801</v>
      </c>
      <c r="AA90" s="59"/>
      <c r="AB90" s="71">
        <v>2949</v>
      </c>
      <c r="AC90" s="66"/>
      <c r="AD90" s="87">
        <v>3448</v>
      </c>
      <c r="AE90" s="87">
        <v>3921</v>
      </c>
      <c r="AF90" s="71">
        <f t="shared" si="600"/>
        <v>473</v>
      </c>
      <c r="AG90" s="66"/>
      <c r="AH90" s="87">
        <v>3460</v>
      </c>
      <c r="AI90" s="71">
        <f t="shared" si="602"/>
        <v>12</v>
      </c>
      <c r="AJ90" s="100"/>
      <c r="AK90" s="88">
        <v>13</v>
      </c>
      <c r="AL90" s="78"/>
      <c r="AM90" s="89">
        <v>14</v>
      </c>
      <c r="AN90" s="89">
        <v>11.3</v>
      </c>
      <c r="AO90" s="214">
        <f t="shared" si="604"/>
        <v>-2.6999999999999993</v>
      </c>
      <c r="AP90" s="78"/>
      <c r="AQ90" s="89">
        <v>12.5</v>
      </c>
      <c r="AR90" s="63">
        <f t="shared" si="606"/>
        <v>-1.5</v>
      </c>
      <c r="AS90" s="59"/>
      <c r="AT90" s="235">
        <v>1</v>
      </c>
      <c r="AU90" s="59"/>
      <c r="AV90" s="236">
        <v>-7.9181246047624804E-2</v>
      </c>
      <c r="AW90" s="237">
        <v>-7.9181246047624804E-2</v>
      </c>
      <c r="AX90" s="75">
        <f t="shared" si="608"/>
        <v>0</v>
      </c>
      <c r="AY90" s="59"/>
      <c r="AZ90" s="239">
        <v>9.691001300805642E-2</v>
      </c>
      <c r="BA90" s="144">
        <f t="shared" si="610"/>
        <v>0.17609125905568124</v>
      </c>
      <c r="BB90" s="98"/>
      <c r="BC90" s="229">
        <v>-7.9181246047624804E-2</v>
      </c>
      <c r="BD90" s="91">
        <v>-7.9181246047624804E-2</v>
      </c>
      <c r="BE90" s="75">
        <f t="shared" si="612"/>
        <v>0</v>
      </c>
      <c r="BF90" s="59"/>
      <c r="BG90" s="228">
        <v>4.5757490560675143E-2</v>
      </c>
      <c r="BH90" s="75">
        <f t="shared" si="614"/>
        <v>0.12493873660829995</v>
      </c>
      <c r="BI90" s="78"/>
      <c r="BJ90" s="230"/>
      <c r="BK90" s="93"/>
    </row>
    <row r="91" spans="1:63" ht="15" customHeight="1">
      <c r="A91" s="231">
        <v>4</v>
      </c>
      <c r="B91" s="82" t="s">
        <v>28</v>
      </c>
      <c r="C91" s="232">
        <v>10.087671232876712</v>
      </c>
      <c r="D91" s="97" t="s">
        <v>0</v>
      </c>
      <c r="E91" s="85">
        <v>-2</v>
      </c>
      <c r="F91" s="100">
        <f t="shared" ref="F91:F103" si="647">AVERAGE(E91:E92)</f>
        <v>-1.75</v>
      </c>
      <c r="G91" s="288">
        <v>42324</v>
      </c>
      <c r="H91" s="54" t="s">
        <v>9</v>
      </c>
      <c r="I91" s="225">
        <v>24.75</v>
      </c>
      <c r="J91" s="205">
        <f t="shared" ref="J91:J103" si="648">AVERAGE(I91:I92)</f>
        <v>24.7</v>
      </c>
      <c r="K91" s="86">
        <v>24.85</v>
      </c>
      <c r="L91" s="58">
        <f t="shared" si="589"/>
        <v>0.10000000000000142</v>
      </c>
      <c r="M91" s="100">
        <f t="shared" si="633"/>
        <v>0.1050000000000022</v>
      </c>
      <c r="N91" s="86">
        <v>24.84</v>
      </c>
      <c r="O91" s="60">
        <f t="shared" si="591"/>
        <v>-1.0000000000001563E-2</v>
      </c>
      <c r="P91" s="233">
        <v>0</v>
      </c>
      <c r="Q91" s="86">
        <v>24.97</v>
      </c>
      <c r="R91" s="227">
        <f t="shared" si="593"/>
        <v>0.11999999999999744</v>
      </c>
      <c r="S91" s="59">
        <f t="shared" ref="S91" si="649">AVERAGE(R91:R92)</f>
        <v>0.11999999999999744</v>
      </c>
      <c r="T91" s="86">
        <v>25.01</v>
      </c>
      <c r="U91" s="60">
        <f t="shared" si="594"/>
        <v>0.16000000000000014</v>
      </c>
      <c r="V91" s="56">
        <f t="shared" ref="V91" si="650">AVERAGE(U91:U92)</f>
        <v>0.15499999999999936</v>
      </c>
      <c r="W91" s="86">
        <v>25.06</v>
      </c>
      <c r="X91" s="61">
        <f t="shared" si="596"/>
        <v>0.2099999999999973</v>
      </c>
      <c r="Y91" s="59">
        <f t="shared" ref="Y91" si="651">AVERAGE(X91:X92)</f>
        <v>0.19999999999999751</v>
      </c>
      <c r="Z91" s="61">
        <f t="shared" si="598"/>
        <v>8.9999999999999858E-2</v>
      </c>
      <c r="AA91" s="59">
        <f t="shared" ref="AA91" si="652">AVERAGE(Z91:Z92)</f>
        <v>8.0000000000000071E-2</v>
      </c>
      <c r="AB91" s="71">
        <v>3546</v>
      </c>
      <c r="AC91" s="99">
        <f t="shared" ref="AC91" si="653">AVERAGE(AB91:AB92)</f>
        <v>3370</v>
      </c>
      <c r="AD91" s="87">
        <v>2985</v>
      </c>
      <c r="AE91" s="87">
        <v>3571</v>
      </c>
      <c r="AF91" s="71">
        <f t="shared" si="600"/>
        <v>586</v>
      </c>
      <c r="AG91" s="99">
        <f t="shared" ref="AG91" si="654">AVERAGE(AF91:AF92)</f>
        <v>366</v>
      </c>
      <c r="AH91" s="87">
        <v>3105</v>
      </c>
      <c r="AI91" s="71">
        <f t="shared" si="602"/>
        <v>120</v>
      </c>
      <c r="AJ91" s="98">
        <f t="shared" ref="AJ91" si="655">AVERAGE(AI91:AI92)</f>
        <v>315.5</v>
      </c>
      <c r="AK91" s="88">
        <v>17.5</v>
      </c>
      <c r="AL91" s="78">
        <f t="shared" si="620"/>
        <v>16.75</v>
      </c>
      <c r="AM91" s="89">
        <v>18</v>
      </c>
      <c r="AN91" s="89">
        <v>17</v>
      </c>
      <c r="AO91" s="214">
        <f t="shared" si="604"/>
        <v>-1</v>
      </c>
      <c r="AP91" s="78">
        <f t="shared" ref="AP91" si="656">AVERAGE(AO91:AO92)</f>
        <v>-1.25</v>
      </c>
      <c r="AQ91" s="89">
        <v>17.3</v>
      </c>
      <c r="AR91" s="63">
        <f t="shared" si="606"/>
        <v>-0.69999999999999929</v>
      </c>
      <c r="AS91" s="59">
        <f t="shared" ref="AS91" si="657">AVERAGE(AR91:AR92)</f>
        <v>-1.8499999999999996</v>
      </c>
      <c r="AT91" s="215">
        <v>1</v>
      </c>
      <c r="AU91" s="59">
        <v>0.76143937264016881</v>
      </c>
      <c r="AV91" s="216">
        <v>-7.9181246047624804E-2</v>
      </c>
      <c r="AW91" s="217">
        <v>-7.9181246047624804E-2</v>
      </c>
      <c r="AX91" s="75">
        <f t="shared" si="608"/>
        <v>0</v>
      </c>
      <c r="AY91" s="59">
        <f t="shared" ref="AY91" si="658">AVERAGE(AX91:AX92)</f>
        <v>0</v>
      </c>
      <c r="AZ91" s="92">
        <v>-7.9181246047624804E-2</v>
      </c>
      <c r="BA91" s="71">
        <f t="shared" si="610"/>
        <v>0</v>
      </c>
      <c r="BB91" s="59">
        <f t="shared" ref="BB91" si="659">AVERAGE(BA91:BA92)</f>
        <v>0</v>
      </c>
      <c r="BC91" s="229">
        <v>0</v>
      </c>
      <c r="BD91" s="91">
        <v>-7.9181246047624804E-2</v>
      </c>
      <c r="BE91" s="75">
        <f t="shared" si="612"/>
        <v>-7.9181246047624804E-2</v>
      </c>
      <c r="BF91" s="59">
        <f t="shared" ref="BF91" si="660">AVERAGE(BE91:BE92)</f>
        <v>-7.9181246047624804E-2</v>
      </c>
      <c r="BG91" s="228">
        <v>-7.9181246047624804E-2</v>
      </c>
      <c r="BH91" s="75">
        <f t="shared" si="614"/>
        <v>-7.9181246047624804E-2</v>
      </c>
      <c r="BI91" s="78">
        <f t="shared" ref="BI91" si="661">AVERAGE(BH91:BH92)</f>
        <v>-7.9181246047624804E-2</v>
      </c>
      <c r="BJ91" s="230">
        <v>100</v>
      </c>
      <c r="BK91" s="93"/>
    </row>
    <row r="92" spans="1:63" ht="15" customHeight="1">
      <c r="A92" s="224"/>
      <c r="B92" s="82"/>
      <c r="C92" s="234"/>
      <c r="D92" s="84"/>
      <c r="E92" s="85">
        <v>-1.5</v>
      </c>
      <c r="F92" s="59"/>
      <c r="G92" s="287"/>
      <c r="H92" s="54" t="s">
        <v>10</v>
      </c>
      <c r="I92" s="225">
        <v>24.65</v>
      </c>
      <c r="J92" s="73"/>
      <c r="K92" s="86">
        <v>24.76</v>
      </c>
      <c r="L92" s="58">
        <f t="shared" si="589"/>
        <v>0.11000000000000298</v>
      </c>
      <c r="M92" s="59"/>
      <c r="N92" s="86">
        <v>24.77</v>
      </c>
      <c r="O92" s="60">
        <f t="shared" si="591"/>
        <v>9.9999999999980105E-3</v>
      </c>
      <c r="P92" s="226"/>
      <c r="Q92" s="86">
        <v>24.88</v>
      </c>
      <c r="R92" s="227">
        <f t="shared" si="593"/>
        <v>0.11999999999999744</v>
      </c>
      <c r="S92" s="59"/>
      <c r="T92" s="86">
        <v>24.91</v>
      </c>
      <c r="U92" s="60">
        <f t="shared" si="594"/>
        <v>0.14999999999999858</v>
      </c>
      <c r="V92" s="56"/>
      <c r="W92" s="86">
        <v>24.95</v>
      </c>
      <c r="X92" s="61">
        <f t="shared" si="596"/>
        <v>0.18999999999999773</v>
      </c>
      <c r="Y92" s="59"/>
      <c r="Z92" s="61">
        <f t="shared" si="598"/>
        <v>7.0000000000000284E-2</v>
      </c>
      <c r="AA92" s="59"/>
      <c r="AB92" s="71">
        <v>3194</v>
      </c>
      <c r="AC92" s="66"/>
      <c r="AD92" s="87">
        <v>2949</v>
      </c>
      <c r="AE92" s="87">
        <v>3095</v>
      </c>
      <c r="AF92" s="71">
        <f t="shared" si="600"/>
        <v>146</v>
      </c>
      <c r="AG92" s="66"/>
      <c r="AH92" s="87">
        <v>3460</v>
      </c>
      <c r="AI92" s="71">
        <f t="shared" si="602"/>
        <v>511</v>
      </c>
      <c r="AJ92" s="100"/>
      <c r="AK92" s="88">
        <v>16</v>
      </c>
      <c r="AL92" s="78"/>
      <c r="AM92" s="89">
        <v>16</v>
      </c>
      <c r="AN92" s="89">
        <v>14.5</v>
      </c>
      <c r="AO92" s="214">
        <f t="shared" si="604"/>
        <v>-1.5</v>
      </c>
      <c r="AP92" s="78"/>
      <c r="AQ92" s="89">
        <v>13</v>
      </c>
      <c r="AR92" s="63">
        <f t="shared" si="606"/>
        <v>-3</v>
      </c>
      <c r="AS92" s="59"/>
      <c r="AT92" s="235">
        <v>0.52287874528033762</v>
      </c>
      <c r="AU92" s="59"/>
      <c r="AV92" s="236">
        <v>-7.9181246047624804E-2</v>
      </c>
      <c r="AW92" s="237">
        <v>-7.9181246047624804E-2</v>
      </c>
      <c r="AX92" s="75">
        <f t="shared" si="608"/>
        <v>0</v>
      </c>
      <c r="AY92" s="59"/>
      <c r="AZ92" s="92">
        <v>-7.9181246047624804E-2</v>
      </c>
      <c r="BA92" s="71">
        <f t="shared" si="610"/>
        <v>0</v>
      </c>
      <c r="BB92" s="59"/>
      <c r="BC92" s="229">
        <v>0</v>
      </c>
      <c r="BD92" s="91">
        <v>-7.9181246047624804E-2</v>
      </c>
      <c r="BE92" s="75">
        <f t="shared" si="612"/>
        <v>-7.9181246047624804E-2</v>
      </c>
      <c r="BF92" s="59"/>
      <c r="BG92" s="228">
        <v>-7.9181246047624804E-2</v>
      </c>
      <c r="BH92" s="75">
        <f t="shared" si="614"/>
        <v>-7.9181246047624804E-2</v>
      </c>
      <c r="BI92" s="78"/>
      <c r="BJ92" s="230"/>
      <c r="BK92" s="93"/>
    </row>
    <row r="93" spans="1:63" ht="15" customHeight="1">
      <c r="A93" s="231">
        <v>5</v>
      </c>
      <c r="B93" s="82" t="s">
        <v>28</v>
      </c>
      <c r="C93" s="232">
        <v>10.468493150684932</v>
      </c>
      <c r="D93" s="97" t="s">
        <v>0</v>
      </c>
      <c r="E93" s="85">
        <v>-2</v>
      </c>
      <c r="F93" s="100">
        <f t="shared" si="647"/>
        <v>-1.875</v>
      </c>
      <c r="G93" s="289">
        <v>42548</v>
      </c>
      <c r="H93" s="58" t="s">
        <v>9</v>
      </c>
      <c r="I93" s="240">
        <v>25.16</v>
      </c>
      <c r="J93" s="205">
        <f t="shared" si="648"/>
        <v>25.03</v>
      </c>
      <c r="K93" s="86">
        <v>25.18</v>
      </c>
      <c r="L93" s="58">
        <f t="shared" si="589"/>
        <v>1.9999999999999574E-2</v>
      </c>
      <c r="M93" s="100">
        <f t="shared" ref="M93" si="662">AVERAGE(L93:L94)</f>
        <v>9.9999999999997868E-3</v>
      </c>
      <c r="N93" s="86">
        <v>25.28</v>
      </c>
      <c r="O93" s="60">
        <f t="shared" si="591"/>
        <v>0.10000000000000142</v>
      </c>
      <c r="P93" s="233">
        <f t="shared" ref="P93" si="663">AVERAGE(O93:O94)</f>
        <v>0.1050000000000022</v>
      </c>
      <c r="Q93" s="86">
        <v>25.47</v>
      </c>
      <c r="R93" s="227">
        <f t="shared" si="593"/>
        <v>0.28999999999999915</v>
      </c>
      <c r="S93" s="59">
        <f t="shared" ref="S93" si="664">AVERAGE(R93:R94)</f>
        <v>0.28500000000000014</v>
      </c>
      <c r="T93" s="86">
        <v>25.61</v>
      </c>
      <c r="U93" s="60">
        <f t="shared" si="594"/>
        <v>0.42999999999999972</v>
      </c>
      <c r="V93" s="56">
        <f t="shared" ref="V93" si="665">AVERAGE(U93:U94)</f>
        <v>0.44500000000000028</v>
      </c>
      <c r="W93" s="86">
        <v>25.7</v>
      </c>
      <c r="X93" s="61">
        <f t="shared" si="596"/>
        <v>0.51999999999999957</v>
      </c>
      <c r="Y93" s="59">
        <f t="shared" ref="Y93" si="666">AVERAGE(X93:X94)</f>
        <v>0.52000000000000135</v>
      </c>
      <c r="Z93" s="61">
        <f t="shared" si="598"/>
        <v>0.23000000000000043</v>
      </c>
      <c r="AA93" s="59">
        <f t="shared" ref="AA93" si="667">AVERAGE(Z93:Z94)</f>
        <v>0.23500000000000121</v>
      </c>
      <c r="AB93" s="71">
        <v>3367</v>
      </c>
      <c r="AC93" s="99">
        <f t="shared" ref="AC93" si="668">AVERAGE(AB93:AB94)</f>
        <v>3236</v>
      </c>
      <c r="AD93" s="87">
        <v>3690</v>
      </c>
      <c r="AE93" s="87">
        <v>3289</v>
      </c>
      <c r="AF93" s="71">
        <f t="shared" si="600"/>
        <v>-401</v>
      </c>
      <c r="AG93" s="99">
        <f t="shared" ref="AG93" si="669">AVERAGE(AF93:AF94)</f>
        <v>-319.5</v>
      </c>
      <c r="AH93" s="87">
        <v>3484</v>
      </c>
      <c r="AI93" s="71">
        <f t="shared" si="602"/>
        <v>-206</v>
      </c>
      <c r="AJ93" s="98">
        <f t="shared" ref="AJ93" si="670">AVERAGE(AI93:AI94)</f>
        <v>-156</v>
      </c>
      <c r="AK93" s="88">
        <v>13</v>
      </c>
      <c r="AL93" s="78">
        <f t="shared" si="620"/>
        <v>14.25</v>
      </c>
      <c r="AM93" s="89">
        <v>12.5</v>
      </c>
      <c r="AN93" s="89">
        <v>13.5</v>
      </c>
      <c r="AO93" s="214">
        <f t="shared" si="604"/>
        <v>1</v>
      </c>
      <c r="AP93" s="78">
        <f t="shared" ref="AP93" si="671">AVERAGE(AO93:AO94)</f>
        <v>0.75</v>
      </c>
      <c r="AQ93" s="89">
        <v>15.5</v>
      </c>
      <c r="AR93" s="63">
        <f t="shared" si="606"/>
        <v>3</v>
      </c>
      <c r="AS93" s="59">
        <f t="shared" ref="AS93" si="672">AVERAGE(AR93:AR94)</f>
        <v>2.5</v>
      </c>
      <c r="AT93" s="215">
        <v>0.82390874094431876</v>
      </c>
      <c r="AU93" s="59">
        <v>0.91195437047215933</v>
      </c>
      <c r="AV93" s="216">
        <v>-7.9181246047624804E-2</v>
      </c>
      <c r="AW93" s="217">
        <v>-7.9181246047624804E-2</v>
      </c>
      <c r="AX93" s="75">
        <f t="shared" si="608"/>
        <v>0</v>
      </c>
      <c r="AY93" s="59">
        <f t="shared" ref="AY93" si="673">AVERAGE(AX93:AX94)</f>
        <v>-6.2469368304149973E-2</v>
      </c>
      <c r="AZ93" s="92">
        <v>-7.9181246047624804E-2</v>
      </c>
      <c r="BA93" s="71">
        <f t="shared" si="610"/>
        <v>0</v>
      </c>
      <c r="BB93" s="59">
        <f t="shared" ref="BB93" si="674">AVERAGE(BA93:BA94)</f>
        <v>-2.2878745280337572E-2</v>
      </c>
      <c r="BC93" s="229">
        <v>0</v>
      </c>
      <c r="BD93" s="91">
        <v>0</v>
      </c>
      <c r="BE93" s="75">
        <f t="shared" si="612"/>
        <v>0</v>
      </c>
      <c r="BF93" s="59">
        <f t="shared" ref="BF93" si="675">AVERAGE(BE93:BE94)</f>
        <v>-0.1505149978319906</v>
      </c>
      <c r="BG93" s="228">
        <v>0</v>
      </c>
      <c r="BH93" s="75">
        <f t="shared" si="614"/>
        <v>0</v>
      </c>
      <c r="BI93" s="98">
        <f t="shared" ref="BI93" si="676">AVERAGE(BH93:BH94)</f>
        <v>-0.1505149978319906</v>
      </c>
      <c r="BJ93" s="230">
        <v>100</v>
      </c>
      <c r="BK93" s="93"/>
    </row>
    <row r="94" spans="1:63" ht="15" customHeight="1">
      <c r="A94" s="224"/>
      <c r="B94" s="82"/>
      <c r="C94" s="234"/>
      <c r="D94" s="84"/>
      <c r="E94" s="85">
        <v>-1.75</v>
      </c>
      <c r="F94" s="59"/>
      <c r="G94" s="289"/>
      <c r="H94" s="58" t="s">
        <v>10</v>
      </c>
      <c r="I94" s="240">
        <v>24.9</v>
      </c>
      <c r="J94" s="73"/>
      <c r="K94" s="86">
        <v>24.9</v>
      </c>
      <c r="L94" s="58">
        <f t="shared" si="589"/>
        <v>0</v>
      </c>
      <c r="M94" s="59"/>
      <c r="N94" s="86">
        <v>25.01</v>
      </c>
      <c r="O94" s="60">
        <f t="shared" si="591"/>
        <v>0.11000000000000298</v>
      </c>
      <c r="P94" s="226"/>
      <c r="Q94" s="86">
        <v>25.18</v>
      </c>
      <c r="R94" s="227">
        <f t="shared" si="593"/>
        <v>0.28000000000000114</v>
      </c>
      <c r="S94" s="59"/>
      <c r="T94" s="86">
        <v>25.36</v>
      </c>
      <c r="U94" s="60">
        <f t="shared" si="594"/>
        <v>0.46000000000000085</v>
      </c>
      <c r="V94" s="56"/>
      <c r="W94" s="86">
        <v>25.42</v>
      </c>
      <c r="X94" s="61">
        <f t="shared" si="596"/>
        <v>0.52000000000000313</v>
      </c>
      <c r="Y94" s="59"/>
      <c r="Z94" s="61">
        <f t="shared" si="598"/>
        <v>0.24000000000000199</v>
      </c>
      <c r="AA94" s="59"/>
      <c r="AB94" s="71">
        <v>3105</v>
      </c>
      <c r="AC94" s="66"/>
      <c r="AD94" s="87">
        <v>3484</v>
      </c>
      <c r="AE94" s="87">
        <v>3246</v>
      </c>
      <c r="AF94" s="71">
        <f t="shared" si="600"/>
        <v>-238</v>
      </c>
      <c r="AG94" s="66"/>
      <c r="AH94" s="87">
        <v>3378</v>
      </c>
      <c r="AI94" s="71">
        <f t="shared" si="602"/>
        <v>-106</v>
      </c>
      <c r="AJ94" s="100"/>
      <c r="AK94" s="88">
        <v>15.5</v>
      </c>
      <c r="AL94" s="78"/>
      <c r="AM94" s="89">
        <v>12.5</v>
      </c>
      <c r="AN94" s="89">
        <v>13</v>
      </c>
      <c r="AO94" s="214">
        <f t="shared" si="604"/>
        <v>0.5</v>
      </c>
      <c r="AP94" s="78"/>
      <c r="AQ94" s="89">
        <v>14.5</v>
      </c>
      <c r="AR94" s="63">
        <f t="shared" si="606"/>
        <v>2</v>
      </c>
      <c r="AS94" s="59"/>
      <c r="AT94" s="235">
        <v>1</v>
      </c>
      <c r="AU94" s="59"/>
      <c r="AV94" s="236">
        <v>4.5757490560675143E-2</v>
      </c>
      <c r="AW94" s="237">
        <v>-7.9181246047624804E-2</v>
      </c>
      <c r="AX94" s="75">
        <f t="shared" si="608"/>
        <v>-0.12493873660829995</v>
      </c>
      <c r="AY94" s="59"/>
      <c r="AZ94" s="92">
        <v>0</v>
      </c>
      <c r="BA94" s="71">
        <f t="shared" si="610"/>
        <v>-4.5757490560675143E-2</v>
      </c>
      <c r="BB94" s="59"/>
      <c r="BC94" s="229">
        <v>0.3010299956639812</v>
      </c>
      <c r="BD94" s="91">
        <v>0</v>
      </c>
      <c r="BE94" s="75">
        <f t="shared" si="612"/>
        <v>-0.3010299956639812</v>
      </c>
      <c r="BF94" s="59"/>
      <c r="BG94" s="228">
        <v>0</v>
      </c>
      <c r="BH94" s="75">
        <f t="shared" si="614"/>
        <v>-0.3010299956639812</v>
      </c>
      <c r="BI94" s="100"/>
      <c r="BJ94" s="230"/>
      <c r="BK94" s="93"/>
    </row>
    <row r="95" spans="1:63" ht="15" customHeight="1">
      <c r="A95" s="231">
        <v>6</v>
      </c>
      <c r="B95" s="82" t="s">
        <v>28</v>
      </c>
      <c r="C95" s="232">
        <v>8.9205479452054792</v>
      </c>
      <c r="D95" s="97" t="s">
        <v>0</v>
      </c>
      <c r="E95" s="85">
        <v>-1</v>
      </c>
      <c r="F95" s="100">
        <f t="shared" si="647"/>
        <v>-1.125</v>
      </c>
      <c r="G95" s="289">
        <v>42560</v>
      </c>
      <c r="H95" s="58" t="s">
        <v>9</v>
      </c>
      <c r="I95" s="240">
        <v>24.2</v>
      </c>
      <c r="J95" s="205">
        <f t="shared" si="648"/>
        <v>24.18</v>
      </c>
      <c r="K95" s="86">
        <v>24.27</v>
      </c>
      <c r="L95" s="58">
        <f t="shared" si="589"/>
        <v>7.0000000000000284E-2</v>
      </c>
      <c r="M95" s="100">
        <f t="shared" ref="M95" si="677">AVERAGE(L95:L96)</f>
        <v>9.9999999999999645E-2</v>
      </c>
      <c r="N95" s="86">
        <v>24.48</v>
      </c>
      <c r="O95" s="60">
        <f t="shared" si="591"/>
        <v>0.21000000000000085</v>
      </c>
      <c r="P95" s="233">
        <f t="shared" ref="P95" si="678">AVERAGE(O95:O96)</f>
        <v>0.17500000000000071</v>
      </c>
      <c r="Q95" s="86">
        <v>24.61</v>
      </c>
      <c r="R95" s="227">
        <f t="shared" si="593"/>
        <v>0.33999999999999986</v>
      </c>
      <c r="S95" s="59">
        <f t="shared" ref="S95" si="679">AVERAGE(R95:R96)</f>
        <v>0.40500000000000114</v>
      </c>
      <c r="T95" s="86">
        <v>24.69</v>
      </c>
      <c r="U95" s="60">
        <f t="shared" si="594"/>
        <v>0.42000000000000171</v>
      </c>
      <c r="V95" s="56">
        <f t="shared" ref="V95" si="680">AVERAGE(U95:U96)</f>
        <v>0.47000000000000064</v>
      </c>
      <c r="W95" s="86">
        <v>24.82</v>
      </c>
      <c r="X95" s="61">
        <f t="shared" si="596"/>
        <v>0.55000000000000071</v>
      </c>
      <c r="Y95" s="59">
        <f t="shared" ref="Y95" si="681">AVERAGE(X95:X96)</f>
        <v>0.59500000000000064</v>
      </c>
      <c r="Z95" s="61">
        <f t="shared" si="598"/>
        <v>0.21000000000000085</v>
      </c>
      <c r="AA95" s="59">
        <f t="shared" ref="AA95" si="682">AVERAGE(Z95:Z96)</f>
        <v>0.1899999999999995</v>
      </c>
      <c r="AB95" s="71">
        <v>3236</v>
      </c>
      <c r="AC95" s="99">
        <f t="shared" ref="AC95" si="683">AVERAGE(AB95:AB96)</f>
        <v>3236</v>
      </c>
      <c r="AD95" s="87">
        <v>3144</v>
      </c>
      <c r="AE95" s="87">
        <v>3745</v>
      </c>
      <c r="AF95" s="71">
        <f t="shared" si="600"/>
        <v>601</v>
      </c>
      <c r="AG95" s="99">
        <f t="shared" ref="AG95" si="684">AVERAGE(AF95:AF96)</f>
        <v>408.5</v>
      </c>
      <c r="AH95" s="87">
        <v>3484</v>
      </c>
      <c r="AI95" s="71">
        <f t="shared" si="602"/>
        <v>340</v>
      </c>
      <c r="AJ95" s="98">
        <f t="shared" ref="AJ95" si="685">AVERAGE(AI95:AI96)</f>
        <v>199.5</v>
      </c>
      <c r="AK95" s="88">
        <v>14.5</v>
      </c>
      <c r="AL95" s="78">
        <f t="shared" si="620"/>
        <v>12.5</v>
      </c>
      <c r="AM95" s="89">
        <v>12</v>
      </c>
      <c r="AN95" s="89">
        <v>10.3</v>
      </c>
      <c r="AO95" s="214">
        <f t="shared" si="604"/>
        <v>-1.6999999999999993</v>
      </c>
      <c r="AP95" s="78">
        <f t="shared" ref="AP95" si="686">AVERAGE(AO95:AO96)</f>
        <v>-1.25</v>
      </c>
      <c r="AQ95" s="89">
        <v>9.6999999999999993</v>
      </c>
      <c r="AR95" s="63">
        <f t="shared" si="606"/>
        <v>-2.3000000000000007</v>
      </c>
      <c r="AS95" s="59">
        <f t="shared" ref="AS95" si="687">AVERAGE(AR95:AR96)</f>
        <v>-2.4000000000000004</v>
      </c>
      <c r="AT95" s="215">
        <v>0.3979400086720376</v>
      </c>
      <c r="AU95" s="59">
        <v>0.46040937697618761</v>
      </c>
      <c r="AV95" s="216">
        <v>-7.9181246047624804E-2</v>
      </c>
      <c r="AW95" s="217">
        <v>-7.9181246047624804E-2</v>
      </c>
      <c r="AX95" s="75">
        <f t="shared" si="608"/>
        <v>0</v>
      </c>
      <c r="AY95" s="59">
        <f t="shared" ref="AY95" si="688">AVERAGE(AX95:AX96)</f>
        <v>6.2469368304149973E-2</v>
      </c>
      <c r="AZ95" s="92">
        <v>0</v>
      </c>
      <c r="BA95" s="71">
        <f t="shared" si="610"/>
        <v>7.9181246047624804E-2</v>
      </c>
      <c r="BB95" s="59">
        <f t="shared" ref="BB95" si="689">AVERAGE(BA95:BA96)</f>
        <v>0.2296962438796154</v>
      </c>
      <c r="BC95" s="229">
        <v>-7.9181246047624804E-2</v>
      </c>
      <c r="BD95" s="91">
        <v>0</v>
      </c>
      <c r="BE95" s="75">
        <f t="shared" si="612"/>
        <v>7.9181246047624804E-2</v>
      </c>
      <c r="BF95" s="59">
        <f t="shared" ref="BF95" si="690">AVERAGE(BE95:BE96)</f>
        <v>3.9590623023812402E-2</v>
      </c>
      <c r="BG95" s="228">
        <v>-7.9181246047624804E-2</v>
      </c>
      <c r="BH95" s="75">
        <f t="shared" si="614"/>
        <v>0</v>
      </c>
      <c r="BI95" s="98">
        <f t="shared" ref="BI95" si="691">AVERAGE(BH95:BH96)</f>
        <v>0</v>
      </c>
      <c r="BJ95" s="230">
        <v>100</v>
      </c>
      <c r="BK95" s="93"/>
    </row>
    <row r="96" spans="1:63" ht="15" customHeight="1">
      <c r="A96" s="224"/>
      <c r="B96" s="82"/>
      <c r="C96" s="234"/>
      <c r="D96" s="84"/>
      <c r="E96" s="85">
        <v>-1.25</v>
      </c>
      <c r="F96" s="59"/>
      <c r="G96" s="289"/>
      <c r="H96" s="58" t="s">
        <v>10</v>
      </c>
      <c r="I96" s="240">
        <v>24.16</v>
      </c>
      <c r="J96" s="73"/>
      <c r="K96" s="86">
        <v>24.29</v>
      </c>
      <c r="L96" s="58">
        <f t="shared" si="589"/>
        <v>0.12999999999999901</v>
      </c>
      <c r="M96" s="59"/>
      <c r="N96" s="86">
        <v>24.43</v>
      </c>
      <c r="O96" s="60">
        <f t="shared" si="591"/>
        <v>0.14000000000000057</v>
      </c>
      <c r="P96" s="226"/>
      <c r="Q96" s="86">
        <v>24.76</v>
      </c>
      <c r="R96" s="227">
        <f t="shared" si="593"/>
        <v>0.47000000000000242</v>
      </c>
      <c r="S96" s="59"/>
      <c r="T96" s="86">
        <v>24.81</v>
      </c>
      <c r="U96" s="60">
        <f t="shared" si="594"/>
        <v>0.51999999999999957</v>
      </c>
      <c r="V96" s="56"/>
      <c r="W96" s="86">
        <v>24.93</v>
      </c>
      <c r="X96" s="61">
        <f t="shared" si="596"/>
        <v>0.64000000000000057</v>
      </c>
      <c r="Y96" s="59"/>
      <c r="Z96" s="61">
        <f t="shared" si="598"/>
        <v>0.16999999999999815</v>
      </c>
      <c r="AA96" s="59"/>
      <c r="AB96" s="71">
        <v>3236</v>
      </c>
      <c r="AC96" s="66"/>
      <c r="AD96" s="87">
        <v>3095</v>
      </c>
      <c r="AE96" s="87">
        <v>3311</v>
      </c>
      <c r="AF96" s="71">
        <f t="shared" si="600"/>
        <v>216</v>
      </c>
      <c r="AG96" s="66"/>
      <c r="AH96" s="87">
        <v>3154</v>
      </c>
      <c r="AI96" s="71">
        <f t="shared" si="602"/>
        <v>59</v>
      </c>
      <c r="AJ96" s="100"/>
      <c r="AK96" s="88">
        <v>10.5</v>
      </c>
      <c r="AL96" s="78"/>
      <c r="AM96" s="89">
        <v>11.5</v>
      </c>
      <c r="AN96" s="89">
        <v>10.7</v>
      </c>
      <c r="AO96" s="214">
        <f t="shared" si="604"/>
        <v>-0.80000000000000071</v>
      </c>
      <c r="AP96" s="78"/>
      <c r="AQ96" s="89">
        <v>9</v>
      </c>
      <c r="AR96" s="63">
        <f t="shared" si="606"/>
        <v>-2.5</v>
      </c>
      <c r="AS96" s="59"/>
      <c r="AT96" s="235">
        <v>0.52287874528033762</v>
      </c>
      <c r="AU96" s="59"/>
      <c r="AV96" s="236">
        <v>-7.9181246047624804E-2</v>
      </c>
      <c r="AW96" s="237">
        <v>4.5757490560675143E-2</v>
      </c>
      <c r="AX96" s="75">
        <f t="shared" si="608"/>
        <v>0.12493873660829995</v>
      </c>
      <c r="AY96" s="59"/>
      <c r="AZ96" s="92">
        <v>0.3010299956639812</v>
      </c>
      <c r="BA96" s="71">
        <f t="shared" si="610"/>
        <v>0.38021124171160603</v>
      </c>
      <c r="BB96" s="59"/>
      <c r="BC96" s="229">
        <v>-7.9181246047624804E-2</v>
      </c>
      <c r="BD96" s="91">
        <v>-7.9181246047624804E-2</v>
      </c>
      <c r="BE96" s="75">
        <f t="shared" si="612"/>
        <v>0</v>
      </c>
      <c r="BF96" s="59"/>
      <c r="BG96" s="228">
        <v>-7.9181246047624804E-2</v>
      </c>
      <c r="BH96" s="75">
        <f t="shared" si="614"/>
        <v>0</v>
      </c>
      <c r="BI96" s="100"/>
      <c r="BJ96" s="230"/>
      <c r="BK96" s="93"/>
    </row>
    <row r="97" spans="1:63" ht="15" customHeight="1">
      <c r="A97" s="231">
        <v>7</v>
      </c>
      <c r="B97" s="82" t="s">
        <v>28</v>
      </c>
      <c r="C97" s="232">
        <v>9.7260273972602747</v>
      </c>
      <c r="D97" s="97" t="s">
        <v>0</v>
      </c>
      <c r="E97" s="85">
        <v>-1</v>
      </c>
      <c r="F97" s="100">
        <f t="shared" si="647"/>
        <v>-1</v>
      </c>
      <c r="G97" s="289">
        <v>42573</v>
      </c>
      <c r="H97" s="58" t="s">
        <v>9</v>
      </c>
      <c r="I97" s="240">
        <v>25.55</v>
      </c>
      <c r="J97" s="205">
        <f t="shared" si="648"/>
        <v>25.625</v>
      </c>
      <c r="K97" s="86">
        <v>25.53</v>
      </c>
      <c r="L97" s="58">
        <f t="shared" si="589"/>
        <v>-1.9999999999999574E-2</v>
      </c>
      <c r="M97" s="100">
        <f t="shared" ref="M97" si="692">AVERAGE(L97:L98)</f>
        <v>-2.9999999999999361E-2</v>
      </c>
      <c r="N97" s="86">
        <v>25.7</v>
      </c>
      <c r="O97" s="60">
        <f t="shared" si="591"/>
        <v>0.16999999999999815</v>
      </c>
      <c r="P97" s="233">
        <f t="shared" ref="P97" si="693">AVERAGE(O97:O98)</f>
        <v>0.18499999999999872</v>
      </c>
      <c r="Q97" s="86">
        <v>25.81</v>
      </c>
      <c r="R97" s="227">
        <f t="shared" si="593"/>
        <v>0.27999999999999758</v>
      </c>
      <c r="S97" s="59">
        <f t="shared" ref="S97" si="694">AVERAGE(R97:R98)</f>
        <v>0.3149999999999995</v>
      </c>
      <c r="T97" s="86">
        <v>26.01</v>
      </c>
      <c r="U97" s="60">
        <f t="shared" si="594"/>
        <v>0.48000000000000043</v>
      </c>
      <c r="V97" s="56">
        <f t="shared" ref="V97" si="695">AVERAGE(U97:U98)</f>
        <v>0.52500000000000036</v>
      </c>
      <c r="W97" s="86">
        <v>26.08</v>
      </c>
      <c r="X97" s="61">
        <f t="shared" si="596"/>
        <v>0.54999999999999716</v>
      </c>
      <c r="Y97" s="59">
        <f t="shared" ref="Y97" si="696">AVERAGE(X97:X98)</f>
        <v>0.59499999999999886</v>
      </c>
      <c r="Z97" s="61">
        <f t="shared" si="598"/>
        <v>0.26999999999999957</v>
      </c>
      <c r="AA97" s="59">
        <f t="shared" ref="AA97" si="697">AVERAGE(Z97:Z98)</f>
        <v>0.27999999999999936</v>
      </c>
      <c r="AB97" s="71">
        <v>3300</v>
      </c>
      <c r="AC97" s="99">
        <f t="shared" ref="AC97" si="698">AVERAGE(AB97:AB98)</f>
        <v>3448.5</v>
      </c>
      <c r="AD97" s="87">
        <v>3546</v>
      </c>
      <c r="AE97" s="87">
        <v>3676</v>
      </c>
      <c r="AF97" s="71">
        <f t="shared" si="600"/>
        <v>130</v>
      </c>
      <c r="AG97" s="99">
        <f t="shared" ref="AG97" si="699">AVERAGE(AF97:AF98)</f>
        <v>404</v>
      </c>
      <c r="AH97" s="87">
        <v>3311</v>
      </c>
      <c r="AI97" s="71">
        <f t="shared" si="602"/>
        <v>-235</v>
      </c>
      <c r="AJ97" s="98">
        <f t="shared" ref="AJ97" si="700">AVERAGE(AI97:AI98)</f>
        <v>271</v>
      </c>
      <c r="AK97" s="88">
        <v>14.5</v>
      </c>
      <c r="AL97" s="78">
        <f t="shared" si="620"/>
        <v>14.25</v>
      </c>
      <c r="AM97" s="89">
        <v>13</v>
      </c>
      <c r="AN97" s="89">
        <v>13.5</v>
      </c>
      <c r="AO97" s="214">
        <f t="shared" si="604"/>
        <v>0.5</v>
      </c>
      <c r="AP97" s="78">
        <f t="shared" ref="AP97" si="701">AVERAGE(AO97:AO98)</f>
        <v>1.5</v>
      </c>
      <c r="AQ97" s="89">
        <v>13</v>
      </c>
      <c r="AR97" s="63">
        <f t="shared" si="606"/>
        <v>0</v>
      </c>
      <c r="AS97" s="59">
        <f t="shared" ref="AS97" si="702">AVERAGE(AR97:AR98)</f>
        <v>0.25</v>
      </c>
      <c r="AT97" s="215">
        <v>0.3010299956639812</v>
      </c>
      <c r="AU97" s="59">
        <v>0.26143937264016881</v>
      </c>
      <c r="AV97" s="216">
        <v>-7.9181246047624804E-2</v>
      </c>
      <c r="AW97" s="217">
        <v>-7.9181246047624804E-2</v>
      </c>
      <c r="AX97" s="75">
        <f t="shared" si="608"/>
        <v>0</v>
      </c>
      <c r="AY97" s="59">
        <f t="shared" ref="AY97" si="703">AVERAGE(AX97:AX98)</f>
        <v>3.9590623023812402E-2</v>
      </c>
      <c r="AZ97" s="92">
        <v>9.691001300805642E-2</v>
      </c>
      <c r="BA97" s="71">
        <f t="shared" si="610"/>
        <v>0.17609125905568124</v>
      </c>
      <c r="BB97" s="59">
        <f t="shared" ref="BB97" si="704">AVERAGE(BA97:BA98)</f>
        <v>0.17609125905568124</v>
      </c>
      <c r="BC97" s="229">
        <v>-7.9181246047624804E-2</v>
      </c>
      <c r="BD97" s="91">
        <v>0</v>
      </c>
      <c r="BE97" s="75">
        <f t="shared" si="612"/>
        <v>7.9181246047624804E-2</v>
      </c>
      <c r="BF97" s="59">
        <f t="shared" ref="BF97" si="705">AVERAGE(BE97:BE98)</f>
        <v>7.9181246047624804E-2</v>
      </c>
      <c r="BG97" s="228">
        <v>0</v>
      </c>
      <c r="BH97" s="75">
        <f t="shared" si="614"/>
        <v>7.9181246047624804E-2</v>
      </c>
      <c r="BI97" s="98">
        <f t="shared" ref="BI97" si="706">AVERAGE(BH97:BH98)</f>
        <v>7.9181246047624804E-2</v>
      </c>
      <c r="BJ97" s="230">
        <v>99</v>
      </c>
      <c r="BK97" s="93"/>
    </row>
    <row r="98" spans="1:63" ht="15" customHeight="1">
      <c r="A98" s="224"/>
      <c r="B98" s="82"/>
      <c r="C98" s="234"/>
      <c r="D98" s="84"/>
      <c r="E98" s="85">
        <v>-1</v>
      </c>
      <c r="F98" s="59"/>
      <c r="G98" s="289"/>
      <c r="H98" s="58" t="s">
        <v>10</v>
      </c>
      <c r="I98" s="240">
        <v>25.7</v>
      </c>
      <c r="J98" s="73"/>
      <c r="K98" s="86">
        <v>25.66</v>
      </c>
      <c r="L98" s="58">
        <f t="shared" si="589"/>
        <v>-3.9999999999999147E-2</v>
      </c>
      <c r="M98" s="59"/>
      <c r="N98" s="86">
        <v>25.86</v>
      </c>
      <c r="O98" s="60">
        <f t="shared" si="591"/>
        <v>0.19999999999999929</v>
      </c>
      <c r="P98" s="226"/>
      <c r="Q98" s="86">
        <v>26.01</v>
      </c>
      <c r="R98" s="227">
        <f t="shared" si="593"/>
        <v>0.35000000000000142</v>
      </c>
      <c r="S98" s="59"/>
      <c r="T98" s="86">
        <v>26.23</v>
      </c>
      <c r="U98" s="60">
        <f t="shared" si="594"/>
        <v>0.57000000000000028</v>
      </c>
      <c r="V98" s="56"/>
      <c r="W98" s="86">
        <v>26.3</v>
      </c>
      <c r="X98" s="61">
        <f t="shared" si="596"/>
        <v>0.64000000000000057</v>
      </c>
      <c r="Y98" s="59"/>
      <c r="Z98" s="61">
        <f t="shared" si="598"/>
        <v>0.28999999999999915</v>
      </c>
      <c r="AA98" s="59"/>
      <c r="AB98" s="71">
        <v>3597</v>
      </c>
      <c r="AC98" s="66"/>
      <c r="AD98" s="87">
        <v>3039</v>
      </c>
      <c r="AE98" s="87">
        <v>3717</v>
      </c>
      <c r="AF98" s="71">
        <f t="shared" si="600"/>
        <v>678</v>
      </c>
      <c r="AG98" s="66"/>
      <c r="AH98" s="87">
        <v>3816</v>
      </c>
      <c r="AI98" s="71">
        <f t="shared" si="602"/>
        <v>777</v>
      </c>
      <c r="AJ98" s="100"/>
      <c r="AK98" s="88">
        <v>14</v>
      </c>
      <c r="AL98" s="78"/>
      <c r="AM98" s="89">
        <v>12.5</v>
      </c>
      <c r="AN98" s="89">
        <v>15</v>
      </c>
      <c r="AO98" s="214">
        <f t="shared" si="604"/>
        <v>2.5</v>
      </c>
      <c r="AP98" s="78"/>
      <c r="AQ98" s="89">
        <v>13</v>
      </c>
      <c r="AR98" s="63">
        <f t="shared" si="606"/>
        <v>0.5</v>
      </c>
      <c r="AS98" s="59"/>
      <c r="AT98" s="235">
        <v>0.22184874961635639</v>
      </c>
      <c r="AU98" s="59"/>
      <c r="AV98" s="236">
        <v>-7.9181246047624804E-2</v>
      </c>
      <c r="AW98" s="237">
        <v>0</v>
      </c>
      <c r="AX98" s="75">
        <f t="shared" si="608"/>
        <v>7.9181246047624804E-2</v>
      </c>
      <c r="AY98" s="59"/>
      <c r="AZ98" s="92">
        <v>9.691001300805642E-2</v>
      </c>
      <c r="BA98" s="71">
        <f t="shared" si="610"/>
        <v>0.17609125905568124</v>
      </c>
      <c r="BB98" s="59"/>
      <c r="BC98" s="229">
        <v>-7.9181246047624804E-2</v>
      </c>
      <c r="BD98" s="91">
        <v>0</v>
      </c>
      <c r="BE98" s="75">
        <f t="shared" si="612"/>
        <v>7.9181246047624804E-2</v>
      </c>
      <c r="BF98" s="59"/>
      <c r="BG98" s="228">
        <v>0</v>
      </c>
      <c r="BH98" s="75">
        <f t="shared" si="614"/>
        <v>7.9181246047624804E-2</v>
      </c>
      <c r="BI98" s="100"/>
      <c r="BJ98" s="230"/>
      <c r="BK98" s="93"/>
    </row>
    <row r="99" spans="1:63" ht="15" customHeight="1">
      <c r="A99" s="231">
        <v>8</v>
      </c>
      <c r="B99" s="82" t="s">
        <v>28</v>
      </c>
      <c r="C99" s="232">
        <v>8.367123287671232</v>
      </c>
      <c r="D99" s="97" t="s">
        <v>1</v>
      </c>
      <c r="E99" s="85">
        <v>-2.25</v>
      </c>
      <c r="F99" s="100">
        <f t="shared" si="647"/>
        <v>-2.5625</v>
      </c>
      <c r="G99" s="289">
        <v>42651</v>
      </c>
      <c r="H99" s="58" t="s">
        <v>9</v>
      </c>
      <c r="I99" s="240">
        <v>24.58</v>
      </c>
      <c r="J99" s="205">
        <f t="shared" si="648"/>
        <v>24.664999999999999</v>
      </c>
      <c r="K99" s="86">
        <v>24.77</v>
      </c>
      <c r="L99" s="58">
        <f t="shared" si="589"/>
        <v>0.19000000000000128</v>
      </c>
      <c r="M99" s="100">
        <f t="shared" ref="M99" si="707">AVERAGE(L99:L100)</f>
        <v>0.17500000000000071</v>
      </c>
      <c r="N99" s="86">
        <v>24.9</v>
      </c>
      <c r="O99" s="60">
        <f t="shared" si="591"/>
        <v>0.12999999999999901</v>
      </c>
      <c r="P99" s="233">
        <f t="shared" ref="P99" si="708">AVERAGE(O99:O100)</f>
        <v>0.11999999999999922</v>
      </c>
      <c r="Q99" s="86">
        <v>25.07</v>
      </c>
      <c r="R99" s="227">
        <f t="shared" si="593"/>
        <v>0.30000000000000071</v>
      </c>
      <c r="S99" s="59">
        <f t="shared" ref="S99" si="709">AVERAGE(R99:R100)</f>
        <v>0.32500000000000107</v>
      </c>
      <c r="T99" s="86">
        <v>25.21</v>
      </c>
      <c r="U99" s="60">
        <f t="shared" si="594"/>
        <v>0.44000000000000128</v>
      </c>
      <c r="V99" s="56">
        <f t="shared" ref="V99" si="710">AVERAGE(U99:U100)</f>
        <v>0.48000000000000043</v>
      </c>
      <c r="W99" s="86">
        <v>25.42</v>
      </c>
      <c r="X99" s="61">
        <f t="shared" si="596"/>
        <v>0.65000000000000213</v>
      </c>
      <c r="Y99" s="59">
        <f t="shared" ref="Y99" si="711">AVERAGE(X99:X100)</f>
        <v>0.71500000000000163</v>
      </c>
      <c r="Z99" s="61">
        <f t="shared" si="598"/>
        <v>0.35000000000000142</v>
      </c>
      <c r="AA99" s="59">
        <f t="shared" ref="AA99" si="712">AVERAGE(Z99:Z100)</f>
        <v>0.39000000000000057</v>
      </c>
      <c r="AB99" s="71">
        <v>2747</v>
      </c>
      <c r="AC99" s="99">
        <f t="shared" ref="AC99" si="713">AVERAGE(AB99:AB100)</f>
        <v>2770</v>
      </c>
      <c r="AD99" s="87">
        <v>3787</v>
      </c>
      <c r="AE99" s="87">
        <v>3058</v>
      </c>
      <c r="AF99" s="71">
        <f t="shared" si="600"/>
        <v>-729</v>
      </c>
      <c r="AG99" s="99">
        <f t="shared" ref="AG99" si="714">AVERAGE(AF99:AF100)</f>
        <v>-670</v>
      </c>
      <c r="AH99" s="87">
        <v>3215</v>
      </c>
      <c r="AI99" s="71">
        <f t="shared" si="602"/>
        <v>-572</v>
      </c>
      <c r="AJ99" s="98">
        <f t="shared" ref="AJ99" si="715">AVERAGE(AI99:AI100)</f>
        <v>-540</v>
      </c>
      <c r="AK99" s="88">
        <v>14.5</v>
      </c>
      <c r="AL99" s="78">
        <f t="shared" si="620"/>
        <v>15.5</v>
      </c>
      <c r="AM99" s="89">
        <v>13</v>
      </c>
      <c r="AN99" s="89">
        <v>11.3</v>
      </c>
      <c r="AO99" s="214">
        <f t="shared" si="604"/>
        <v>-1.6999999999999993</v>
      </c>
      <c r="AP99" s="78">
        <f t="shared" ref="AP99" si="716">AVERAGE(AO99:AO100)</f>
        <v>-1.0999999999999996</v>
      </c>
      <c r="AQ99" s="89">
        <v>12</v>
      </c>
      <c r="AR99" s="63">
        <f t="shared" si="606"/>
        <v>-1</v>
      </c>
      <c r="AS99" s="59">
        <f t="shared" ref="AS99" si="717">AVERAGE(AR99:AR100)</f>
        <v>-0.25</v>
      </c>
      <c r="AT99" s="215">
        <v>0.69897000433601886</v>
      </c>
      <c r="AU99" s="59">
        <v>0.69897000433601886</v>
      </c>
      <c r="AV99" s="216">
        <v>-7.9181246047624804E-2</v>
      </c>
      <c r="AW99" s="217">
        <v>0</v>
      </c>
      <c r="AX99" s="75">
        <f t="shared" si="608"/>
        <v>7.9181246047624804E-2</v>
      </c>
      <c r="AY99" s="59">
        <f t="shared" ref="AY99" si="718">AVERAGE(AX99:AX100)</f>
        <v>7.9181246047624804E-2</v>
      </c>
      <c r="AZ99" s="92">
        <v>-7.9181246047624804E-2</v>
      </c>
      <c r="BA99" s="71">
        <f t="shared" si="610"/>
        <v>0</v>
      </c>
      <c r="BB99" s="59">
        <f t="shared" ref="BB99" si="719">AVERAGE(BA99:BA100)</f>
        <v>3.9590623023812402E-2</v>
      </c>
      <c r="BC99" s="229">
        <v>9.691001300805642E-2</v>
      </c>
      <c r="BD99" s="91">
        <v>0</v>
      </c>
      <c r="BE99" s="75">
        <f t="shared" si="612"/>
        <v>-9.691001300805642E-2</v>
      </c>
      <c r="BF99" s="59">
        <f t="shared" ref="BF99" si="720">AVERAGE(BE99:BE100)</f>
        <v>-7.1333751784365781E-2</v>
      </c>
      <c r="BG99" s="228">
        <v>0</v>
      </c>
      <c r="BH99" s="75">
        <f t="shared" si="614"/>
        <v>-9.691001300805642E-2</v>
      </c>
      <c r="BI99" s="98">
        <f t="shared" ref="BI99" si="721">AVERAGE(BH99:BH100)</f>
        <v>-7.1333751784365781E-2</v>
      </c>
      <c r="BJ99" s="230">
        <v>100</v>
      </c>
      <c r="BK99" s="93"/>
    </row>
    <row r="100" spans="1:63" ht="15" customHeight="1">
      <c r="A100" s="224"/>
      <c r="B100" s="82"/>
      <c r="C100" s="234"/>
      <c r="D100" s="84"/>
      <c r="E100" s="85">
        <v>-2.875</v>
      </c>
      <c r="F100" s="59"/>
      <c r="G100" s="289"/>
      <c r="H100" s="58" t="s">
        <v>10</v>
      </c>
      <c r="I100" s="240">
        <v>24.75</v>
      </c>
      <c r="J100" s="73"/>
      <c r="K100" s="86">
        <v>24.91</v>
      </c>
      <c r="L100" s="58">
        <f t="shared" si="589"/>
        <v>0.16000000000000014</v>
      </c>
      <c r="M100" s="59"/>
      <c r="N100" s="86">
        <v>25.02</v>
      </c>
      <c r="O100" s="60">
        <f t="shared" si="591"/>
        <v>0.10999999999999943</v>
      </c>
      <c r="P100" s="226"/>
      <c r="Q100" s="86">
        <v>25.26</v>
      </c>
      <c r="R100" s="227">
        <f t="shared" si="593"/>
        <v>0.35000000000000142</v>
      </c>
      <c r="S100" s="59"/>
      <c r="T100" s="86">
        <v>25.43</v>
      </c>
      <c r="U100" s="60">
        <f t="shared" si="594"/>
        <v>0.51999999999999957</v>
      </c>
      <c r="V100" s="56"/>
      <c r="W100" s="86">
        <v>25.69</v>
      </c>
      <c r="X100" s="61">
        <f t="shared" si="596"/>
        <v>0.78000000000000114</v>
      </c>
      <c r="Y100" s="59"/>
      <c r="Z100" s="61">
        <f t="shared" si="598"/>
        <v>0.42999999999999972</v>
      </c>
      <c r="AA100" s="59"/>
      <c r="AB100" s="71">
        <v>2793</v>
      </c>
      <c r="AC100" s="66"/>
      <c r="AD100" s="87">
        <v>3623</v>
      </c>
      <c r="AE100" s="87">
        <v>3012</v>
      </c>
      <c r="AF100" s="71">
        <f t="shared" si="600"/>
        <v>-611</v>
      </c>
      <c r="AG100" s="66"/>
      <c r="AH100" s="87">
        <v>3115</v>
      </c>
      <c r="AI100" s="71">
        <f t="shared" si="602"/>
        <v>-508</v>
      </c>
      <c r="AJ100" s="100"/>
      <c r="AK100" s="88">
        <v>16.5</v>
      </c>
      <c r="AL100" s="78"/>
      <c r="AM100" s="89">
        <v>14.5</v>
      </c>
      <c r="AN100" s="89">
        <v>14</v>
      </c>
      <c r="AO100" s="214">
        <f t="shared" si="604"/>
        <v>-0.5</v>
      </c>
      <c r="AP100" s="78"/>
      <c r="AQ100" s="89">
        <v>15</v>
      </c>
      <c r="AR100" s="63">
        <f t="shared" si="606"/>
        <v>0.5</v>
      </c>
      <c r="AS100" s="59"/>
      <c r="AT100" s="235">
        <v>0.69897000433601886</v>
      </c>
      <c r="AU100" s="59"/>
      <c r="AV100" s="236">
        <v>-7.9181246047624804E-2</v>
      </c>
      <c r="AW100" s="237">
        <v>0</v>
      </c>
      <c r="AX100" s="75">
        <f t="shared" si="608"/>
        <v>7.9181246047624804E-2</v>
      </c>
      <c r="AY100" s="59"/>
      <c r="AZ100" s="92">
        <v>0</v>
      </c>
      <c r="BA100" s="71">
        <f t="shared" si="610"/>
        <v>7.9181246047624804E-2</v>
      </c>
      <c r="BB100" s="59"/>
      <c r="BC100" s="229">
        <v>4.5757490560675143E-2</v>
      </c>
      <c r="BD100" s="91">
        <v>0</v>
      </c>
      <c r="BE100" s="75">
        <f t="shared" si="612"/>
        <v>-4.5757490560675143E-2</v>
      </c>
      <c r="BF100" s="59"/>
      <c r="BG100" s="228">
        <v>0</v>
      </c>
      <c r="BH100" s="75">
        <f t="shared" si="614"/>
        <v>-4.5757490560675143E-2</v>
      </c>
      <c r="BI100" s="100"/>
      <c r="BJ100" s="230"/>
      <c r="BK100" s="93"/>
    </row>
    <row r="101" spans="1:63" ht="15" customHeight="1">
      <c r="A101" s="231">
        <v>9</v>
      </c>
      <c r="B101" s="82" t="s">
        <v>28</v>
      </c>
      <c r="C101" s="232">
        <v>10.197260273972603</v>
      </c>
      <c r="D101" s="97" t="s">
        <v>1</v>
      </c>
      <c r="E101" s="85">
        <v>-1.75</v>
      </c>
      <c r="F101" s="100">
        <f t="shared" si="647"/>
        <v>-1.75</v>
      </c>
      <c r="G101" s="289">
        <v>42699</v>
      </c>
      <c r="H101" s="58" t="s">
        <v>9</v>
      </c>
      <c r="I101" s="240">
        <v>23.97</v>
      </c>
      <c r="J101" s="205">
        <f t="shared" si="648"/>
        <v>24.049999999999997</v>
      </c>
      <c r="K101" s="86">
        <v>24.07</v>
      </c>
      <c r="L101" s="58">
        <f t="shared" si="589"/>
        <v>0.10000000000000142</v>
      </c>
      <c r="M101" s="100">
        <f t="shared" ref="M101" si="722">AVERAGE(L101:L102)</f>
        <v>8.0000000000001847E-2</v>
      </c>
      <c r="N101" s="86">
        <v>24.29</v>
      </c>
      <c r="O101" s="60">
        <f t="shared" si="591"/>
        <v>0.21999999999999886</v>
      </c>
      <c r="P101" s="233">
        <f t="shared" ref="P101" si="723">AVERAGE(O101:O102)</f>
        <v>0.14999999999999858</v>
      </c>
      <c r="Q101" s="86">
        <v>24.45</v>
      </c>
      <c r="R101" s="227">
        <f t="shared" si="593"/>
        <v>0.37999999999999901</v>
      </c>
      <c r="S101" s="59">
        <f t="shared" ref="S101" si="724">AVERAGE(R101:R102)</f>
        <v>0.32499999999999929</v>
      </c>
      <c r="T101" s="86">
        <v>24.46</v>
      </c>
      <c r="U101" s="60">
        <f t="shared" si="594"/>
        <v>0.39000000000000057</v>
      </c>
      <c r="V101" s="56">
        <f t="shared" ref="V101" si="725">AVERAGE(U101:U102)</f>
        <v>0.33499999999999908</v>
      </c>
      <c r="W101" s="86">
        <v>24.51</v>
      </c>
      <c r="X101" s="61">
        <f t="shared" si="596"/>
        <v>0.44000000000000128</v>
      </c>
      <c r="Y101" s="59">
        <f t="shared" ref="Y101" si="726">AVERAGE(X101:X102)</f>
        <v>0.42500000000000071</v>
      </c>
      <c r="Z101" s="61">
        <f t="shared" si="598"/>
        <v>6.0000000000002274E-2</v>
      </c>
      <c r="AA101" s="59">
        <f t="shared" ref="AA101" si="727">AVERAGE(Z101:Z102)</f>
        <v>0.10000000000000142</v>
      </c>
      <c r="AB101" s="71">
        <v>3174</v>
      </c>
      <c r="AC101" s="99">
        <f t="shared" ref="AC101" si="728">AVERAGE(AB101:AB102)</f>
        <v>3194.5</v>
      </c>
      <c r="AD101" s="87">
        <v>3676</v>
      </c>
      <c r="AE101" s="87">
        <v>3311</v>
      </c>
      <c r="AF101" s="71">
        <f t="shared" si="600"/>
        <v>-365</v>
      </c>
      <c r="AG101" s="99">
        <f t="shared" ref="AG101" si="729">AVERAGE(AF101:AF102)</f>
        <v>-144.5</v>
      </c>
      <c r="AH101" s="87">
        <v>2906</v>
      </c>
      <c r="AI101" s="71">
        <f t="shared" si="602"/>
        <v>-770</v>
      </c>
      <c r="AJ101" s="98">
        <f t="shared" ref="AJ101" si="730">AVERAGE(AI101:AI102)</f>
        <v>-311.5</v>
      </c>
      <c r="AK101" s="88">
        <v>11.5</v>
      </c>
      <c r="AL101" s="78">
        <f t="shared" si="620"/>
        <v>11.75</v>
      </c>
      <c r="AM101" s="89">
        <v>11.3</v>
      </c>
      <c r="AN101" s="89">
        <v>11.7</v>
      </c>
      <c r="AO101" s="214">
        <f t="shared" si="604"/>
        <v>0.39999999999999858</v>
      </c>
      <c r="AP101" s="78">
        <f t="shared" ref="AP101" si="731">AVERAGE(AO101:AO102)</f>
        <v>-0.95000000000000107</v>
      </c>
      <c r="AQ101" s="89">
        <v>9.5</v>
      </c>
      <c r="AR101" s="63">
        <f t="shared" si="606"/>
        <v>-1.8000000000000007</v>
      </c>
      <c r="AS101" s="59">
        <f t="shared" ref="AS101" si="732">AVERAGE(AR101:AR102)</f>
        <v>-2.3000000000000007</v>
      </c>
      <c r="AT101" s="215">
        <v>0.52287874528033762</v>
      </c>
      <c r="AU101" s="59">
        <v>0.52287874528033762</v>
      </c>
      <c r="AV101" s="216">
        <v>-7.9181246047624804E-2</v>
      </c>
      <c r="AW101" s="217">
        <v>-7.9181246047624804E-2</v>
      </c>
      <c r="AX101" s="75">
        <f t="shared" si="608"/>
        <v>0</v>
      </c>
      <c r="AY101" s="59">
        <f t="shared" ref="AY101" si="733">AVERAGE(AX101:AX102)</f>
        <v>0</v>
      </c>
      <c r="AZ101" s="241">
        <v>0.15490195998574319</v>
      </c>
      <c r="BA101" s="71">
        <f t="shared" si="610"/>
        <v>0.23408320603336799</v>
      </c>
      <c r="BB101" s="59">
        <f t="shared" ref="BB101" si="734">AVERAGE(BA101:BA102)</f>
        <v>0.23408320603336799</v>
      </c>
      <c r="BC101" s="229">
        <v>4.5757490560675143E-2</v>
      </c>
      <c r="BD101" s="91">
        <v>0</v>
      </c>
      <c r="BE101" s="75">
        <f t="shared" si="612"/>
        <v>-4.5757490560675143E-2</v>
      </c>
      <c r="BF101" s="59">
        <f t="shared" ref="BF101" si="735">AVERAGE(BE101:BE102)</f>
        <v>-4.5757490560675143E-2</v>
      </c>
      <c r="BG101" s="228">
        <v>9.691001300805642E-2</v>
      </c>
      <c r="BH101" s="75">
        <f t="shared" si="614"/>
        <v>5.1152522447381277E-2</v>
      </c>
      <c r="BI101" s="78">
        <f t="shared" ref="BI101" si="736">AVERAGE(BH101:BH102)</f>
        <v>2.6975159433530668E-3</v>
      </c>
      <c r="BJ101" s="230">
        <v>96</v>
      </c>
      <c r="BK101" s="93"/>
    </row>
    <row r="102" spans="1:63" ht="15" customHeight="1">
      <c r="A102" s="224"/>
      <c r="B102" s="82"/>
      <c r="C102" s="234"/>
      <c r="D102" s="84"/>
      <c r="E102" s="85">
        <v>-1.75</v>
      </c>
      <c r="F102" s="59"/>
      <c r="G102" s="289"/>
      <c r="H102" s="58" t="s">
        <v>10</v>
      </c>
      <c r="I102" s="240">
        <v>24.13</v>
      </c>
      <c r="J102" s="73"/>
      <c r="K102" s="86">
        <v>24.19</v>
      </c>
      <c r="L102" s="58">
        <f t="shared" si="589"/>
        <v>6.0000000000002274E-2</v>
      </c>
      <c r="M102" s="59"/>
      <c r="N102" s="86">
        <v>24.27</v>
      </c>
      <c r="O102" s="60">
        <f t="shared" si="591"/>
        <v>7.9999999999998295E-2</v>
      </c>
      <c r="P102" s="226"/>
      <c r="Q102" s="86">
        <v>24.46</v>
      </c>
      <c r="R102" s="227">
        <f t="shared" si="593"/>
        <v>0.26999999999999957</v>
      </c>
      <c r="S102" s="59"/>
      <c r="T102" s="86">
        <v>24.47</v>
      </c>
      <c r="U102" s="60">
        <f t="shared" si="594"/>
        <v>0.27999999999999758</v>
      </c>
      <c r="V102" s="56"/>
      <c r="W102" s="86">
        <v>24.6</v>
      </c>
      <c r="X102" s="61">
        <f t="shared" si="596"/>
        <v>0.41000000000000014</v>
      </c>
      <c r="Y102" s="59"/>
      <c r="Z102" s="61">
        <f t="shared" si="598"/>
        <v>0.14000000000000057</v>
      </c>
      <c r="AA102" s="59"/>
      <c r="AB102" s="71">
        <v>3215</v>
      </c>
      <c r="AC102" s="66"/>
      <c r="AD102" s="87">
        <v>3058</v>
      </c>
      <c r="AE102" s="87">
        <v>3134</v>
      </c>
      <c r="AF102" s="71">
        <f t="shared" si="600"/>
        <v>76</v>
      </c>
      <c r="AG102" s="66"/>
      <c r="AH102" s="87">
        <v>3205</v>
      </c>
      <c r="AI102" s="71">
        <f t="shared" si="602"/>
        <v>147</v>
      </c>
      <c r="AJ102" s="100"/>
      <c r="AK102" s="88">
        <v>12</v>
      </c>
      <c r="AL102" s="78"/>
      <c r="AM102" s="89">
        <v>13.3</v>
      </c>
      <c r="AN102" s="89">
        <v>11</v>
      </c>
      <c r="AO102" s="214">
        <f t="shared" si="604"/>
        <v>-2.3000000000000007</v>
      </c>
      <c r="AP102" s="78"/>
      <c r="AQ102" s="89">
        <v>10.5</v>
      </c>
      <c r="AR102" s="63">
        <f t="shared" si="606"/>
        <v>-2.8000000000000007</v>
      </c>
      <c r="AS102" s="59"/>
      <c r="AT102" s="235">
        <v>0.52287874528033762</v>
      </c>
      <c r="AU102" s="59"/>
      <c r="AV102" s="236">
        <v>-7.9181246047624804E-2</v>
      </c>
      <c r="AW102" s="237">
        <v>-7.9181246047624804E-2</v>
      </c>
      <c r="AX102" s="75">
        <f t="shared" si="608"/>
        <v>0</v>
      </c>
      <c r="AY102" s="59"/>
      <c r="AZ102" s="242">
        <v>0.15490195998574319</v>
      </c>
      <c r="BA102" s="71">
        <f t="shared" si="610"/>
        <v>0.23408320603336799</v>
      </c>
      <c r="BB102" s="59"/>
      <c r="BC102" s="229">
        <v>4.5757490560675143E-2</v>
      </c>
      <c r="BD102" s="91">
        <v>0</v>
      </c>
      <c r="BE102" s="75">
        <f t="shared" si="612"/>
        <v>-4.5757490560675143E-2</v>
      </c>
      <c r="BF102" s="59"/>
      <c r="BG102" s="228">
        <v>0</v>
      </c>
      <c r="BH102" s="75">
        <f t="shared" si="614"/>
        <v>-4.5757490560675143E-2</v>
      </c>
      <c r="BI102" s="78"/>
      <c r="BJ102" s="230"/>
      <c r="BK102" s="93"/>
    </row>
    <row r="103" spans="1:63" ht="15" customHeight="1">
      <c r="A103" s="231">
        <v>10</v>
      </c>
      <c r="B103" s="82" t="s">
        <v>28</v>
      </c>
      <c r="C103" s="232">
        <v>10.923287671232877</v>
      </c>
      <c r="D103" s="97" t="s">
        <v>1</v>
      </c>
      <c r="E103" s="85">
        <v>-1.25</v>
      </c>
      <c r="F103" s="100">
        <f t="shared" si="647"/>
        <v>-1.25</v>
      </c>
      <c r="G103" s="289">
        <v>42706</v>
      </c>
      <c r="H103" s="58" t="s">
        <v>9</v>
      </c>
      <c r="I103" s="240">
        <v>24.14</v>
      </c>
      <c r="J103" s="205">
        <f t="shared" si="648"/>
        <v>24.15</v>
      </c>
      <c r="K103" s="86">
        <v>24.21</v>
      </c>
      <c r="L103" s="58">
        <f t="shared" si="589"/>
        <v>7.0000000000000284E-2</v>
      </c>
      <c r="M103" s="100">
        <f t="shared" ref="M103" si="737">AVERAGE(L103:L104)</f>
        <v>6.4999999999999503E-2</v>
      </c>
      <c r="N103" s="86">
        <v>24.33</v>
      </c>
      <c r="O103" s="60">
        <f t="shared" si="591"/>
        <v>0.11999999999999744</v>
      </c>
      <c r="P103" s="233">
        <f t="shared" ref="P103" si="738">AVERAGE(O103:O104)</f>
        <v>0.125</v>
      </c>
      <c r="Q103" s="86">
        <v>24.43</v>
      </c>
      <c r="R103" s="227">
        <f t="shared" si="593"/>
        <v>0.21999999999999886</v>
      </c>
      <c r="S103" s="59">
        <f t="shared" ref="S103" si="739">AVERAGE(R103:R104)</f>
        <v>0.23000000000000043</v>
      </c>
      <c r="T103" s="86">
        <v>24.544</v>
      </c>
      <c r="U103" s="60">
        <f t="shared" si="594"/>
        <v>0.33399999999999963</v>
      </c>
      <c r="V103" s="56">
        <f t="shared" ref="V103" si="740">AVERAGE(U103:U104)</f>
        <v>0.34699999999999953</v>
      </c>
      <c r="W103" s="86">
        <v>24.62</v>
      </c>
      <c r="X103" s="61">
        <f t="shared" si="596"/>
        <v>0.41000000000000014</v>
      </c>
      <c r="Y103" s="59">
        <f t="shared" ref="Y103" si="741">AVERAGE(X103:X104)</f>
        <v>0.41999999999999993</v>
      </c>
      <c r="Z103" s="61">
        <f t="shared" si="598"/>
        <v>0.19000000000000128</v>
      </c>
      <c r="AA103" s="59">
        <f t="shared" ref="AA103" si="742">AVERAGE(Z103:Z104)</f>
        <v>0.1899999999999995</v>
      </c>
      <c r="AB103" s="71">
        <v>3861</v>
      </c>
      <c r="AC103" s="99">
        <f t="shared" ref="AC103" si="743">AVERAGE(AB103:AB104)</f>
        <v>3614</v>
      </c>
      <c r="AD103" s="87">
        <v>3745</v>
      </c>
      <c r="AE103" s="87">
        <v>3460</v>
      </c>
      <c r="AF103" s="71">
        <f t="shared" si="600"/>
        <v>-285</v>
      </c>
      <c r="AG103" s="99">
        <f t="shared" ref="AG103" si="744">AVERAGE(AF103:AF104)</f>
        <v>-262.5</v>
      </c>
      <c r="AH103" s="87">
        <v>3105</v>
      </c>
      <c r="AI103" s="71">
        <f t="shared" si="602"/>
        <v>-640</v>
      </c>
      <c r="AJ103" s="98">
        <f t="shared" ref="AJ103" si="745">AVERAGE(AI103:AI104)</f>
        <v>-647.5</v>
      </c>
      <c r="AK103" s="88">
        <v>14</v>
      </c>
      <c r="AL103" s="78">
        <f t="shared" ref="AL103:AL153" si="746">AVERAGE(AK103:AK104)</f>
        <v>14.5</v>
      </c>
      <c r="AM103" s="89">
        <v>12.5</v>
      </c>
      <c r="AN103" s="89">
        <v>13</v>
      </c>
      <c r="AO103" s="214">
        <f t="shared" si="604"/>
        <v>0.5</v>
      </c>
      <c r="AP103" s="78">
        <f t="shared" ref="AP103" si="747">AVERAGE(AO103:AO104)</f>
        <v>1.25</v>
      </c>
      <c r="AQ103" s="89">
        <v>10.7</v>
      </c>
      <c r="AR103" s="63">
        <f t="shared" si="606"/>
        <v>-1.8000000000000007</v>
      </c>
      <c r="AS103" s="59">
        <f t="shared" ref="AS103" si="748">AVERAGE(AR103:AR104)</f>
        <v>-0.90000000000000036</v>
      </c>
      <c r="AT103" s="215">
        <v>0.52287874528033762</v>
      </c>
      <c r="AU103" s="59">
        <v>0.52287874528033762</v>
      </c>
      <c r="AV103" s="216">
        <v>0</v>
      </c>
      <c r="AW103" s="217">
        <v>-7.9181246047624804E-2</v>
      </c>
      <c r="AX103" s="75">
        <f t="shared" si="608"/>
        <v>-7.9181246047624804E-2</v>
      </c>
      <c r="AY103" s="59">
        <f t="shared" ref="AY103" si="749">AVERAGE(AX103:AX104)</f>
        <v>-0.1505149978319906</v>
      </c>
      <c r="AZ103" s="241">
        <v>0.22184874961635639</v>
      </c>
      <c r="BA103" s="71">
        <f t="shared" si="610"/>
        <v>0.22184874961635639</v>
      </c>
      <c r="BB103" s="59">
        <f t="shared" ref="BB103" si="750">AVERAGE(BA103:BA104)</f>
        <v>0.26143937264016881</v>
      </c>
      <c r="BC103" s="229">
        <v>0</v>
      </c>
      <c r="BD103" s="91">
        <v>-7.9181246047624804E-2</v>
      </c>
      <c r="BE103" s="75">
        <f t="shared" si="612"/>
        <v>-7.9181246047624804E-2</v>
      </c>
      <c r="BF103" s="59">
        <f t="shared" ref="BF103" si="751">AVERAGE(BE103:BE104)</f>
        <v>-7.9181246047624804E-2</v>
      </c>
      <c r="BG103" s="228">
        <v>0</v>
      </c>
      <c r="BH103" s="75">
        <f t="shared" si="614"/>
        <v>0</v>
      </c>
      <c r="BI103" s="78">
        <f t="shared" ref="BI103" si="752">AVERAGE(BH103:BH104)</f>
        <v>0</v>
      </c>
      <c r="BJ103" s="230">
        <v>87</v>
      </c>
      <c r="BK103" s="93"/>
    </row>
    <row r="104" spans="1:63" ht="15" customHeight="1">
      <c r="A104" s="224"/>
      <c r="B104" s="82"/>
      <c r="C104" s="234"/>
      <c r="D104" s="84"/>
      <c r="E104" s="85">
        <v>-1.25</v>
      </c>
      <c r="F104" s="59"/>
      <c r="G104" s="289"/>
      <c r="H104" s="58" t="s">
        <v>10</v>
      </c>
      <c r="I104" s="240">
        <v>24.16</v>
      </c>
      <c r="J104" s="73"/>
      <c r="K104" s="86">
        <v>24.22</v>
      </c>
      <c r="L104" s="58">
        <f t="shared" si="589"/>
        <v>5.9999999999998721E-2</v>
      </c>
      <c r="M104" s="59"/>
      <c r="N104" s="86">
        <v>24.35</v>
      </c>
      <c r="O104" s="60">
        <f t="shared" si="591"/>
        <v>0.13000000000000256</v>
      </c>
      <c r="P104" s="226"/>
      <c r="Q104" s="86">
        <v>24.46</v>
      </c>
      <c r="R104" s="227">
        <f t="shared" si="593"/>
        <v>0.24000000000000199</v>
      </c>
      <c r="S104" s="59"/>
      <c r="T104" s="86">
        <v>24.58</v>
      </c>
      <c r="U104" s="60">
        <f t="shared" si="594"/>
        <v>0.35999999999999943</v>
      </c>
      <c r="V104" s="56"/>
      <c r="W104" s="86">
        <v>24.65</v>
      </c>
      <c r="X104" s="61">
        <f t="shared" si="596"/>
        <v>0.42999999999999972</v>
      </c>
      <c r="Y104" s="59"/>
      <c r="Z104" s="61">
        <f t="shared" si="598"/>
        <v>0.18999999999999773</v>
      </c>
      <c r="AA104" s="59"/>
      <c r="AB104" s="71">
        <v>3367</v>
      </c>
      <c r="AC104" s="66"/>
      <c r="AD104" s="87">
        <v>3676</v>
      </c>
      <c r="AE104" s="87">
        <v>3436</v>
      </c>
      <c r="AF104" s="71">
        <f t="shared" si="600"/>
        <v>-240</v>
      </c>
      <c r="AG104" s="66"/>
      <c r="AH104" s="87">
        <v>3021</v>
      </c>
      <c r="AI104" s="71">
        <f t="shared" si="602"/>
        <v>-655</v>
      </c>
      <c r="AJ104" s="100"/>
      <c r="AK104" s="88">
        <v>15</v>
      </c>
      <c r="AL104" s="78"/>
      <c r="AM104" s="89">
        <v>12</v>
      </c>
      <c r="AN104" s="89">
        <v>14</v>
      </c>
      <c r="AO104" s="214">
        <f t="shared" si="604"/>
        <v>2</v>
      </c>
      <c r="AP104" s="78"/>
      <c r="AQ104" s="89">
        <v>12</v>
      </c>
      <c r="AR104" s="63">
        <f t="shared" si="606"/>
        <v>0</v>
      </c>
      <c r="AS104" s="59"/>
      <c r="AT104" s="235">
        <v>0.52287874528033762</v>
      </c>
      <c r="AU104" s="59"/>
      <c r="AV104" s="236">
        <v>0.22184874961635639</v>
      </c>
      <c r="AW104" s="237">
        <v>0</v>
      </c>
      <c r="AX104" s="75">
        <f t="shared" si="608"/>
        <v>-0.22184874961635639</v>
      </c>
      <c r="AY104" s="59"/>
      <c r="AZ104" s="242">
        <v>0.52287874528033762</v>
      </c>
      <c r="BA104" s="71">
        <f t="shared" si="610"/>
        <v>0.30102999566398125</v>
      </c>
      <c r="BB104" s="59"/>
      <c r="BC104" s="229">
        <v>0</v>
      </c>
      <c r="BD104" s="91">
        <v>-7.9181246047624804E-2</v>
      </c>
      <c r="BE104" s="75">
        <f t="shared" si="612"/>
        <v>-7.9181246047624804E-2</v>
      </c>
      <c r="BF104" s="59"/>
      <c r="BG104" s="228">
        <v>0</v>
      </c>
      <c r="BH104" s="75">
        <f t="shared" si="614"/>
        <v>0</v>
      </c>
      <c r="BI104" s="78"/>
      <c r="BJ104" s="230"/>
      <c r="BK104" s="93"/>
    </row>
    <row r="105" spans="1:63" ht="15" customHeight="1">
      <c r="A105" s="231">
        <v>11</v>
      </c>
      <c r="B105" s="82" t="s">
        <v>29</v>
      </c>
      <c r="C105" s="243">
        <v>8.2958904109589042</v>
      </c>
      <c r="D105" s="97" t="s">
        <v>0</v>
      </c>
      <c r="E105" s="107">
        <v>-1.5</v>
      </c>
      <c r="F105" s="100">
        <f t="shared" ref="F105" si="753">AVERAGE(E105:E106)</f>
        <v>-1.5</v>
      </c>
      <c r="G105" s="290">
        <v>41876</v>
      </c>
      <c r="H105" s="135" t="s">
        <v>9</v>
      </c>
      <c r="I105" s="244">
        <v>24.5</v>
      </c>
      <c r="J105" s="205">
        <f t="shared" ref="J105" si="754">AVERAGE(I105:I106)</f>
        <v>24.384999999999998</v>
      </c>
      <c r="K105" s="122">
        <v>24.7</v>
      </c>
      <c r="L105" s="58">
        <f t="shared" si="589"/>
        <v>0.19999999999999929</v>
      </c>
      <c r="M105" s="100">
        <f t="shared" ref="M105" si="755">AVERAGE(L105:L106)</f>
        <v>0.30499999999999972</v>
      </c>
      <c r="N105" s="122">
        <v>24.95</v>
      </c>
      <c r="O105" s="60">
        <f t="shared" si="591"/>
        <v>0.25</v>
      </c>
      <c r="P105" s="233">
        <f t="shared" ref="P105" si="756">AVERAGE(O105:O106)</f>
        <v>0.27500000000000036</v>
      </c>
      <c r="Q105" s="122">
        <v>25.1</v>
      </c>
      <c r="R105" s="227">
        <f t="shared" si="593"/>
        <v>0.40000000000000213</v>
      </c>
      <c r="S105" s="59">
        <f t="shared" ref="S105" si="757">AVERAGE(R105:R106)</f>
        <v>0.44500000000000206</v>
      </c>
      <c r="T105" s="86">
        <v>25.13</v>
      </c>
      <c r="U105" s="60">
        <f t="shared" si="594"/>
        <v>0.42999999999999972</v>
      </c>
      <c r="V105" s="56">
        <f t="shared" si="595"/>
        <v>0.4350000000000005</v>
      </c>
      <c r="W105" s="86">
        <v>25.26</v>
      </c>
      <c r="X105" s="61">
        <f t="shared" si="596"/>
        <v>0.56000000000000227</v>
      </c>
      <c r="Y105" s="59">
        <f t="shared" ref="Y105" si="758">AVERAGE(X105:X106)</f>
        <v>0.62000000000000099</v>
      </c>
      <c r="Z105" s="61">
        <f t="shared" si="598"/>
        <v>0.16000000000000014</v>
      </c>
      <c r="AA105" s="59">
        <f t="shared" ref="AA105" si="759">AVERAGE(Z105:Z106)</f>
        <v>0.17499999999999893</v>
      </c>
      <c r="AB105" s="111">
        <v>3077</v>
      </c>
      <c r="AC105" s="99">
        <f t="shared" ref="AC105" si="760">AVERAGE(AB105:AB106)</f>
        <v>3031</v>
      </c>
      <c r="AD105" s="112">
        <v>3003</v>
      </c>
      <c r="AE105" s="112">
        <v>3195</v>
      </c>
      <c r="AF105" s="71">
        <f t="shared" si="600"/>
        <v>192</v>
      </c>
      <c r="AG105" s="99">
        <f t="shared" ref="AG105" si="761">AVERAGE(AF105:AF106)</f>
        <v>120</v>
      </c>
      <c r="AH105" s="112">
        <v>2758</v>
      </c>
      <c r="AI105" s="71">
        <f t="shared" si="602"/>
        <v>-245</v>
      </c>
      <c r="AJ105" s="98">
        <f t="shared" ref="AJ105" si="762">AVERAGE(AI105:AI106)</f>
        <v>-219</v>
      </c>
      <c r="AK105" s="113">
        <v>15</v>
      </c>
      <c r="AL105" s="78">
        <f t="shared" si="746"/>
        <v>15</v>
      </c>
      <c r="AM105" s="114">
        <v>16</v>
      </c>
      <c r="AN105" s="114">
        <v>14</v>
      </c>
      <c r="AO105" s="214">
        <f t="shared" si="604"/>
        <v>-2</v>
      </c>
      <c r="AP105" s="78">
        <f t="shared" ref="AP105" si="763">AVERAGE(AO105:AO106)</f>
        <v>-1.5</v>
      </c>
      <c r="AQ105" s="114">
        <v>15</v>
      </c>
      <c r="AR105" s="63">
        <f t="shared" si="606"/>
        <v>-1</v>
      </c>
      <c r="AS105" s="59">
        <f t="shared" ref="AS105" si="764">AVERAGE(AR105:AR106)</f>
        <v>-1</v>
      </c>
      <c r="AT105" s="215">
        <v>0.69897000433601886</v>
      </c>
      <c r="AU105" s="59">
        <v>0.69897000433601886</v>
      </c>
      <c r="AV105" s="216">
        <v>-7.9181246047624804E-2</v>
      </c>
      <c r="AW105" s="217">
        <v>0</v>
      </c>
      <c r="AX105" s="75">
        <f t="shared" si="608"/>
        <v>7.9181246047624804E-2</v>
      </c>
      <c r="AY105" s="59">
        <f t="shared" ref="AY105" si="765">AVERAGE(AX105:AX106)</f>
        <v>0.10205999132796237</v>
      </c>
      <c r="AZ105" s="241">
        <v>0</v>
      </c>
      <c r="BA105" s="71">
        <f t="shared" si="610"/>
        <v>7.9181246047624804E-2</v>
      </c>
      <c r="BB105" s="59">
        <f t="shared" ref="BB105" si="766">AVERAGE(BA105:BA106)</f>
        <v>0.27815125038364358</v>
      </c>
      <c r="BC105" s="229">
        <v>-7.9181246047624804E-2</v>
      </c>
      <c r="BD105" s="91">
        <v>-7.9181246047624804E-2</v>
      </c>
      <c r="BE105" s="75">
        <f t="shared" si="612"/>
        <v>0</v>
      </c>
      <c r="BF105" s="59">
        <f t="shared" ref="BF105" si="767">AVERAGE(BE105:BE106)</f>
        <v>0</v>
      </c>
      <c r="BG105" s="228">
        <v>0</v>
      </c>
      <c r="BH105" s="75">
        <f t="shared" si="614"/>
        <v>7.9181246047624804E-2</v>
      </c>
      <c r="BI105" s="78">
        <f t="shared" ref="BI105" si="768">AVERAGE(BH105:BH106)</f>
        <v>0.1566322260404964</v>
      </c>
      <c r="BJ105" s="230">
        <v>100</v>
      </c>
      <c r="BK105" s="93"/>
    </row>
    <row r="106" spans="1:63" ht="15" customHeight="1">
      <c r="A106" s="224"/>
      <c r="B106" s="82"/>
      <c r="C106" s="245"/>
      <c r="D106" s="84"/>
      <c r="E106" s="107">
        <v>-1.5</v>
      </c>
      <c r="F106" s="59"/>
      <c r="G106" s="291"/>
      <c r="H106" s="135" t="s">
        <v>10</v>
      </c>
      <c r="I106" s="246">
        <v>24.27</v>
      </c>
      <c r="J106" s="73"/>
      <c r="K106" s="118">
        <v>24.68</v>
      </c>
      <c r="L106" s="58">
        <f t="shared" si="589"/>
        <v>0.41000000000000014</v>
      </c>
      <c r="M106" s="59"/>
      <c r="N106" s="118">
        <v>24.98</v>
      </c>
      <c r="O106" s="60">
        <f t="shared" si="591"/>
        <v>0.30000000000000071</v>
      </c>
      <c r="P106" s="226"/>
      <c r="Q106" s="118">
        <v>25.17</v>
      </c>
      <c r="R106" s="227">
        <f t="shared" si="593"/>
        <v>0.49000000000000199</v>
      </c>
      <c r="S106" s="59"/>
      <c r="T106" s="86">
        <v>25.12</v>
      </c>
      <c r="U106" s="60">
        <f t="shared" si="594"/>
        <v>0.44000000000000128</v>
      </c>
      <c r="V106" s="56"/>
      <c r="W106" s="86">
        <v>25.36</v>
      </c>
      <c r="X106" s="61">
        <f t="shared" si="596"/>
        <v>0.67999999999999972</v>
      </c>
      <c r="Y106" s="59"/>
      <c r="Z106" s="61">
        <f t="shared" si="598"/>
        <v>0.18999999999999773</v>
      </c>
      <c r="AA106" s="59"/>
      <c r="AB106" s="111">
        <v>2985</v>
      </c>
      <c r="AC106" s="66"/>
      <c r="AD106" s="112">
        <v>3058</v>
      </c>
      <c r="AE106" s="112">
        <v>3106</v>
      </c>
      <c r="AF106" s="71">
        <f t="shared" si="600"/>
        <v>48</v>
      </c>
      <c r="AG106" s="66"/>
      <c r="AH106" s="112">
        <v>2865</v>
      </c>
      <c r="AI106" s="71">
        <f t="shared" si="602"/>
        <v>-193</v>
      </c>
      <c r="AJ106" s="100"/>
      <c r="AK106" s="113">
        <v>15</v>
      </c>
      <c r="AL106" s="78"/>
      <c r="AM106" s="114">
        <v>14</v>
      </c>
      <c r="AN106" s="114">
        <v>13</v>
      </c>
      <c r="AO106" s="214">
        <f t="shared" si="604"/>
        <v>-1</v>
      </c>
      <c r="AP106" s="78"/>
      <c r="AQ106" s="114">
        <v>13</v>
      </c>
      <c r="AR106" s="63">
        <f t="shared" si="606"/>
        <v>-1</v>
      </c>
      <c r="AS106" s="59"/>
      <c r="AT106" s="235">
        <v>0.69897000433601886</v>
      </c>
      <c r="AU106" s="59"/>
      <c r="AV106" s="236">
        <v>-7.9181246047624804E-2</v>
      </c>
      <c r="AW106" s="237">
        <v>4.5757490560675143E-2</v>
      </c>
      <c r="AX106" s="75">
        <f t="shared" si="608"/>
        <v>0.12493873660829995</v>
      </c>
      <c r="AY106" s="59"/>
      <c r="AZ106" s="242">
        <v>0.3979400086720376</v>
      </c>
      <c r="BA106" s="71">
        <f t="shared" si="610"/>
        <v>0.47712125471966238</v>
      </c>
      <c r="BB106" s="59"/>
      <c r="BC106" s="229">
        <v>-7.9181246047624804E-2</v>
      </c>
      <c r="BD106" s="91">
        <v>-7.9181246047624804E-2</v>
      </c>
      <c r="BE106" s="75">
        <f t="shared" si="612"/>
        <v>0</v>
      </c>
      <c r="BF106" s="59"/>
      <c r="BG106" s="228">
        <v>0.15490195998574319</v>
      </c>
      <c r="BH106" s="75">
        <f t="shared" si="614"/>
        <v>0.23408320603336799</v>
      </c>
      <c r="BI106" s="78"/>
      <c r="BJ106" s="230"/>
      <c r="BK106" s="93"/>
    </row>
    <row r="107" spans="1:63" ht="15" customHeight="1">
      <c r="A107" s="247">
        <v>12</v>
      </c>
      <c r="B107" s="82" t="s">
        <v>29</v>
      </c>
      <c r="C107" s="243">
        <v>8.9479452054794528</v>
      </c>
      <c r="D107" s="97" t="s">
        <v>0</v>
      </c>
      <c r="E107" s="107">
        <v>-1.25</v>
      </c>
      <c r="F107" s="100">
        <f t="shared" ref="F107" si="769">AVERAGE(E107:E108)</f>
        <v>-1.25</v>
      </c>
      <c r="G107" s="290">
        <v>42147</v>
      </c>
      <c r="H107" s="135" t="s">
        <v>9</v>
      </c>
      <c r="I107" s="111">
        <v>24.11</v>
      </c>
      <c r="J107" s="205">
        <f t="shared" ref="J107" si="770">AVERAGE(I107:I108)</f>
        <v>24.09</v>
      </c>
      <c r="K107" s="118">
        <v>24.18</v>
      </c>
      <c r="L107" s="58">
        <f t="shared" si="589"/>
        <v>7.0000000000000284E-2</v>
      </c>
      <c r="M107" s="100">
        <f t="shared" ref="M107" si="771">AVERAGE(L107:L108)</f>
        <v>5.4999999999999716E-2</v>
      </c>
      <c r="N107" s="118">
        <v>24.23</v>
      </c>
      <c r="O107" s="60">
        <f t="shared" si="591"/>
        <v>5.0000000000000711E-2</v>
      </c>
      <c r="P107" s="233">
        <f t="shared" ref="P107" si="772">AVERAGE(O107:O108)</f>
        <v>5.0000000000000711E-2</v>
      </c>
      <c r="Q107" s="118">
        <v>24.37</v>
      </c>
      <c r="R107" s="227">
        <f t="shared" si="593"/>
        <v>0.19000000000000128</v>
      </c>
      <c r="S107" s="59">
        <f t="shared" ref="S107" si="773">AVERAGE(R107:R108)</f>
        <v>0.17500000000000071</v>
      </c>
      <c r="T107" s="112">
        <v>24.42</v>
      </c>
      <c r="U107" s="60">
        <f t="shared" si="594"/>
        <v>0.24000000000000199</v>
      </c>
      <c r="V107" s="56">
        <f t="shared" si="595"/>
        <v>0.23000000000000043</v>
      </c>
      <c r="W107" s="118">
        <v>24.43</v>
      </c>
      <c r="X107" s="61">
        <f t="shared" si="596"/>
        <v>0.25</v>
      </c>
      <c r="Y107" s="59">
        <f t="shared" ref="Y107" si="774">AVERAGE(X107:X108)</f>
        <v>0.23499999999999943</v>
      </c>
      <c r="Z107" s="61">
        <f t="shared" si="598"/>
        <v>5.9999999999998721E-2</v>
      </c>
      <c r="AA107" s="59">
        <f t="shared" ref="AA107" si="775">AVERAGE(Z107:Z108)</f>
        <v>5.9999999999998721E-2</v>
      </c>
      <c r="AB107" s="111">
        <v>3125</v>
      </c>
      <c r="AC107" s="99">
        <f t="shared" ref="AC107" si="776">AVERAGE(AB107:AB108)</f>
        <v>3165</v>
      </c>
      <c r="AD107" s="112">
        <v>3135</v>
      </c>
      <c r="AE107" s="112">
        <v>3275</v>
      </c>
      <c r="AF107" s="71">
        <f t="shared" si="600"/>
        <v>140</v>
      </c>
      <c r="AG107" s="99">
        <f t="shared" ref="AG107" si="777">AVERAGE(AF107:AF108)</f>
        <v>105</v>
      </c>
      <c r="AH107" s="112">
        <v>3074</v>
      </c>
      <c r="AI107" s="71">
        <f t="shared" si="602"/>
        <v>-61</v>
      </c>
      <c r="AJ107" s="98">
        <f t="shared" ref="AJ107" si="778">AVERAGE(AI107:AI108)</f>
        <v>-326</v>
      </c>
      <c r="AK107" s="113">
        <v>19</v>
      </c>
      <c r="AL107" s="78">
        <f t="shared" si="746"/>
        <v>17.5</v>
      </c>
      <c r="AM107" s="114">
        <v>11</v>
      </c>
      <c r="AN107" s="114">
        <v>12</v>
      </c>
      <c r="AO107" s="214">
        <f t="shared" si="604"/>
        <v>1</v>
      </c>
      <c r="AP107" s="78">
        <f t="shared" ref="AP107" si="779">AVERAGE(AO107:AO108)</f>
        <v>1.5</v>
      </c>
      <c r="AQ107" s="114">
        <v>13</v>
      </c>
      <c r="AR107" s="63">
        <f t="shared" si="606"/>
        <v>2</v>
      </c>
      <c r="AS107" s="59">
        <f t="shared" ref="AS107" si="780">AVERAGE(AR107:AR108)</f>
        <v>2</v>
      </c>
      <c r="AT107" s="215">
        <v>0.52287874528033762</v>
      </c>
      <c r="AU107" s="59">
        <v>0.52287874528033762</v>
      </c>
      <c r="AV107" s="216">
        <v>-7.9181246047624804E-2</v>
      </c>
      <c r="AW107" s="217">
        <v>-7.9181246047624804E-2</v>
      </c>
      <c r="AX107" s="75">
        <f t="shared" si="608"/>
        <v>0</v>
      </c>
      <c r="AY107" s="59">
        <f t="shared" ref="AY107" si="781">AVERAGE(AX107:AX108)</f>
        <v>0</v>
      </c>
      <c r="AZ107" s="241">
        <v>-7.9181246047624804E-2</v>
      </c>
      <c r="BA107" s="71">
        <f t="shared" si="610"/>
        <v>0</v>
      </c>
      <c r="BB107" s="59">
        <f t="shared" ref="BB107" si="782">AVERAGE(BA107:BA108)</f>
        <v>0</v>
      </c>
      <c r="BC107" s="229">
        <v>-7.9181246047624804E-2</v>
      </c>
      <c r="BD107" s="91">
        <v>0.22184874961635639</v>
      </c>
      <c r="BE107" s="75">
        <f t="shared" si="612"/>
        <v>0.3010299956639812</v>
      </c>
      <c r="BF107" s="59">
        <f t="shared" ref="BF107" si="783">AVERAGE(BE107:BE108)</f>
        <v>0.19010562085580301</v>
      </c>
      <c r="BG107" s="228">
        <v>-7.9181246047624804E-2</v>
      </c>
      <c r="BH107" s="75">
        <f t="shared" si="614"/>
        <v>0</v>
      </c>
      <c r="BI107" s="78">
        <f t="shared" ref="BI107" si="784">AVERAGE(BH107:BH108)</f>
        <v>0</v>
      </c>
      <c r="BJ107" s="230">
        <v>89</v>
      </c>
      <c r="BK107" s="93"/>
    </row>
    <row r="108" spans="1:63" ht="15" customHeight="1">
      <c r="A108" s="81"/>
      <c r="B108" s="82"/>
      <c r="C108" s="245"/>
      <c r="D108" s="84"/>
      <c r="E108" s="107">
        <v>-1.25</v>
      </c>
      <c r="F108" s="59"/>
      <c r="G108" s="291"/>
      <c r="H108" s="135" t="s">
        <v>10</v>
      </c>
      <c r="I108" s="111">
        <v>24.07</v>
      </c>
      <c r="J108" s="73"/>
      <c r="K108" s="118">
        <v>24.11</v>
      </c>
      <c r="L108" s="58">
        <f t="shared" si="589"/>
        <v>3.9999999999999147E-2</v>
      </c>
      <c r="M108" s="59"/>
      <c r="N108" s="118">
        <v>24.16</v>
      </c>
      <c r="O108" s="60">
        <f t="shared" si="591"/>
        <v>5.0000000000000711E-2</v>
      </c>
      <c r="P108" s="226"/>
      <c r="Q108" s="118">
        <v>24.27</v>
      </c>
      <c r="R108" s="227">
        <f t="shared" si="593"/>
        <v>0.16000000000000014</v>
      </c>
      <c r="S108" s="59"/>
      <c r="T108" s="123">
        <v>24.33</v>
      </c>
      <c r="U108" s="60">
        <f t="shared" si="594"/>
        <v>0.21999999999999886</v>
      </c>
      <c r="V108" s="56"/>
      <c r="W108" s="118">
        <v>24.33</v>
      </c>
      <c r="X108" s="61">
        <f t="shared" si="596"/>
        <v>0.21999999999999886</v>
      </c>
      <c r="Y108" s="59"/>
      <c r="Z108" s="61">
        <f t="shared" si="598"/>
        <v>5.9999999999998721E-2</v>
      </c>
      <c r="AA108" s="59"/>
      <c r="AB108" s="111">
        <v>3205</v>
      </c>
      <c r="AC108" s="66"/>
      <c r="AD108" s="112">
        <v>3247</v>
      </c>
      <c r="AE108" s="112">
        <v>3317</v>
      </c>
      <c r="AF108" s="71">
        <f t="shared" si="600"/>
        <v>70</v>
      </c>
      <c r="AG108" s="66"/>
      <c r="AH108" s="112">
        <v>2656</v>
      </c>
      <c r="AI108" s="71">
        <f t="shared" si="602"/>
        <v>-591</v>
      </c>
      <c r="AJ108" s="100"/>
      <c r="AK108" s="113">
        <v>16</v>
      </c>
      <c r="AL108" s="78"/>
      <c r="AM108" s="114">
        <v>11</v>
      </c>
      <c r="AN108" s="114">
        <v>13</v>
      </c>
      <c r="AO108" s="214">
        <f t="shared" si="604"/>
        <v>2</v>
      </c>
      <c r="AP108" s="78"/>
      <c r="AQ108" s="114">
        <v>13</v>
      </c>
      <c r="AR108" s="63">
        <f t="shared" si="606"/>
        <v>2</v>
      </c>
      <c r="AS108" s="59"/>
      <c r="AT108" s="235">
        <v>0.52287874528033762</v>
      </c>
      <c r="AU108" s="59"/>
      <c r="AV108" s="236">
        <v>-7.9181246047624804E-2</v>
      </c>
      <c r="AW108" s="237">
        <v>-7.9181246047624804E-2</v>
      </c>
      <c r="AX108" s="75">
        <f t="shared" si="608"/>
        <v>0</v>
      </c>
      <c r="AY108" s="59"/>
      <c r="AZ108" s="242">
        <v>-7.9181246047624804E-2</v>
      </c>
      <c r="BA108" s="71">
        <f t="shared" si="610"/>
        <v>0</v>
      </c>
      <c r="BB108" s="59"/>
      <c r="BC108" s="229">
        <v>-7.9181246047624804E-2</v>
      </c>
      <c r="BD108" s="91">
        <v>0</v>
      </c>
      <c r="BE108" s="75">
        <f t="shared" si="612"/>
        <v>7.9181246047624804E-2</v>
      </c>
      <c r="BF108" s="59"/>
      <c r="BG108" s="228">
        <v>-7.9181246047624804E-2</v>
      </c>
      <c r="BH108" s="75">
        <f t="shared" si="614"/>
        <v>0</v>
      </c>
      <c r="BI108" s="78"/>
      <c r="BJ108" s="230"/>
      <c r="BK108" s="93"/>
    </row>
    <row r="109" spans="1:63" ht="15" customHeight="1">
      <c r="A109" s="247">
        <v>13</v>
      </c>
      <c r="B109" s="82" t="s">
        <v>29</v>
      </c>
      <c r="C109" s="243">
        <v>8.2273972602739729</v>
      </c>
      <c r="D109" s="97" t="s">
        <v>0</v>
      </c>
      <c r="E109" s="107">
        <v>-1.25</v>
      </c>
      <c r="F109" s="100">
        <f>AVERAGE(E109:E110)</f>
        <v>-1.25</v>
      </c>
      <c r="G109" s="290">
        <v>42350</v>
      </c>
      <c r="H109" s="135" t="s">
        <v>9</v>
      </c>
      <c r="I109" s="111">
        <v>24.89</v>
      </c>
      <c r="J109" s="205">
        <f t="shared" ref="J109" si="785">AVERAGE(I109:I110)</f>
        <v>24.715</v>
      </c>
      <c r="K109" s="118">
        <v>25.04</v>
      </c>
      <c r="L109" s="58">
        <f t="shared" si="589"/>
        <v>0.14999999999999858</v>
      </c>
      <c r="M109" s="100">
        <f t="shared" ref="M109" si="786">AVERAGE(L109:L110)</f>
        <v>0.13499999999999979</v>
      </c>
      <c r="N109" s="118">
        <v>25.34</v>
      </c>
      <c r="O109" s="60">
        <f t="shared" si="591"/>
        <v>0.30000000000000071</v>
      </c>
      <c r="P109" s="233">
        <f t="shared" ref="P109" si="787">AVERAGE(O109:O110)</f>
        <v>0.25500000000000078</v>
      </c>
      <c r="Q109" s="118">
        <v>25.48</v>
      </c>
      <c r="R109" s="227">
        <f t="shared" si="593"/>
        <v>0.44000000000000128</v>
      </c>
      <c r="S109" s="59">
        <f t="shared" ref="S109" si="788">AVERAGE(R109:R110)</f>
        <v>0.42500000000000071</v>
      </c>
      <c r="T109" s="112">
        <v>25.69</v>
      </c>
      <c r="U109" s="60">
        <f t="shared" si="594"/>
        <v>0.65000000000000213</v>
      </c>
      <c r="V109" s="56">
        <f t="shared" ref="V109" si="789">AVERAGE(U109:U110)</f>
        <v>0.68000000000000149</v>
      </c>
      <c r="W109" s="118">
        <v>26.06</v>
      </c>
      <c r="X109" s="61">
        <f t="shared" si="596"/>
        <v>1.0199999999999996</v>
      </c>
      <c r="Y109" s="59">
        <f t="shared" ref="Y109" si="790">AVERAGE(X109:X110)</f>
        <v>1.0749999999999993</v>
      </c>
      <c r="Z109" s="61">
        <f t="shared" si="598"/>
        <v>0.57999999999999829</v>
      </c>
      <c r="AA109" s="59">
        <f t="shared" ref="AA109" si="791">AVERAGE(Z109:Z110)</f>
        <v>0.64999999999999858</v>
      </c>
      <c r="AB109" s="111">
        <v>3148</v>
      </c>
      <c r="AC109" s="99">
        <f t="shared" ref="AC109" si="792">AVERAGE(AB109:AB110)</f>
        <v>3015</v>
      </c>
      <c r="AD109" s="112">
        <v>2920</v>
      </c>
      <c r="AE109" s="112">
        <v>2974</v>
      </c>
      <c r="AF109" s="71">
        <f t="shared" si="600"/>
        <v>54</v>
      </c>
      <c r="AG109" s="99">
        <f t="shared" ref="AG109" si="793">AVERAGE(AF109:AF110)</f>
        <v>25.5</v>
      </c>
      <c r="AH109" s="112">
        <v>2956</v>
      </c>
      <c r="AI109" s="71">
        <f t="shared" si="602"/>
        <v>36</v>
      </c>
      <c r="AJ109" s="98">
        <f t="shared" ref="AJ109" si="794">AVERAGE(AI109:AI110)</f>
        <v>-123.5</v>
      </c>
      <c r="AK109" s="113">
        <v>10</v>
      </c>
      <c r="AL109" s="78">
        <f t="shared" si="746"/>
        <v>9.5</v>
      </c>
      <c r="AM109" s="114">
        <v>12</v>
      </c>
      <c r="AN109" s="114">
        <v>9</v>
      </c>
      <c r="AO109" s="214">
        <f t="shared" si="604"/>
        <v>-3</v>
      </c>
      <c r="AP109" s="78">
        <f t="shared" ref="AP109" si="795">AVERAGE(AO109:AO110)</f>
        <v>-2</v>
      </c>
      <c r="AQ109" s="114">
        <v>10</v>
      </c>
      <c r="AR109" s="63">
        <f t="shared" si="606"/>
        <v>-2</v>
      </c>
      <c r="AS109" s="59">
        <f t="shared" ref="AS109" si="796">AVERAGE(AR109:AR110)</f>
        <v>-2</v>
      </c>
      <c r="AT109" s="215">
        <v>0.52287874528033762</v>
      </c>
      <c r="AU109" s="59">
        <v>0.67339374311232825</v>
      </c>
      <c r="AV109" s="216">
        <v>-7.9181246047624804E-2</v>
      </c>
      <c r="AW109" s="217">
        <v>4.5757490560675143E-2</v>
      </c>
      <c r="AX109" s="75">
        <f t="shared" si="608"/>
        <v>0.12493873660829995</v>
      </c>
      <c r="AY109" s="59">
        <f t="shared" ref="AY109" si="797">AVERAGE(AX109:AX110)</f>
        <v>6.2469368304149973E-2</v>
      </c>
      <c r="AZ109" s="241">
        <v>4.5757490560675143E-2</v>
      </c>
      <c r="BA109" s="71">
        <f t="shared" si="610"/>
        <v>0.12493873660829995</v>
      </c>
      <c r="BB109" s="59">
        <f t="shared" ref="BB109" si="798">AVERAGE(BA109:BA110)</f>
        <v>0.17951097132083396</v>
      </c>
      <c r="BC109" s="229">
        <v>-7.9181246047624804E-2</v>
      </c>
      <c r="BD109" s="91">
        <v>-7.9181246047624804E-2</v>
      </c>
      <c r="BE109" s="75">
        <f t="shared" si="612"/>
        <v>0</v>
      </c>
      <c r="BF109" s="59">
        <f t="shared" ref="BF109" si="799">AVERAGE(BE109:BE110)</f>
        <v>0</v>
      </c>
      <c r="BG109" s="228">
        <v>-7.9181246047624804E-2</v>
      </c>
      <c r="BH109" s="75">
        <f t="shared" si="614"/>
        <v>0</v>
      </c>
      <c r="BI109" s="78">
        <f t="shared" ref="BI109" si="800">AVERAGE(BH109:BH110)</f>
        <v>0</v>
      </c>
      <c r="BJ109" s="230">
        <v>100</v>
      </c>
      <c r="BK109" s="93"/>
    </row>
    <row r="110" spans="1:63" ht="15" customHeight="1">
      <c r="A110" s="81"/>
      <c r="B110" s="82"/>
      <c r="C110" s="245"/>
      <c r="D110" s="84"/>
      <c r="E110" s="107">
        <v>-1.25</v>
      </c>
      <c r="F110" s="59"/>
      <c r="G110" s="291"/>
      <c r="H110" s="135" t="s">
        <v>10</v>
      </c>
      <c r="I110" s="111">
        <v>24.54</v>
      </c>
      <c r="J110" s="73"/>
      <c r="K110" s="118">
        <v>24.66</v>
      </c>
      <c r="L110" s="58">
        <f t="shared" si="589"/>
        <v>0.12000000000000099</v>
      </c>
      <c r="M110" s="59"/>
      <c r="N110" s="118">
        <v>24.87</v>
      </c>
      <c r="O110" s="60">
        <f t="shared" si="591"/>
        <v>0.21000000000000085</v>
      </c>
      <c r="P110" s="226"/>
      <c r="Q110" s="118">
        <v>25.07</v>
      </c>
      <c r="R110" s="227">
        <f t="shared" si="593"/>
        <v>0.41000000000000014</v>
      </c>
      <c r="S110" s="59"/>
      <c r="T110" s="123">
        <v>25.37</v>
      </c>
      <c r="U110" s="60">
        <f t="shared" si="594"/>
        <v>0.71000000000000085</v>
      </c>
      <c r="V110" s="56"/>
      <c r="W110" s="118">
        <v>25.79</v>
      </c>
      <c r="X110" s="61">
        <f t="shared" si="596"/>
        <v>1.129999999999999</v>
      </c>
      <c r="Y110" s="59"/>
      <c r="Z110" s="61">
        <f t="shared" si="598"/>
        <v>0.71999999999999886</v>
      </c>
      <c r="AA110" s="59"/>
      <c r="AB110" s="111">
        <v>2882</v>
      </c>
      <c r="AC110" s="66"/>
      <c r="AD110" s="112">
        <v>3117</v>
      </c>
      <c r="AE110" s="112">
        <v>3114</v>
      </c>
      <c r="AF110" s="71">
        <f t="shared" si="600"/>
        <v>-3</v>
      </c>
      <c r="AG110" s="66"/>
      <c r="AH110" s="112">
        <v>2834</v>
      </c>
      <c r="AI110" s="71">
        <f t="shared" si="602"/>
        <v>-283</v>
      </c>
      <c r="AJ110" s="100"/>
      <c r="AK110" s="113">
        <v>9</v>
      </c>
      <c r="AL110" s="78"/>
      <c r="AM110" s="114">
        <v>11</v>
      </c>
      <c r="AN110" s="114">
        <v>10</v>
      </c>
      <c r="AO110" s="214">
        <f t="shared" si="604"/>
        <v>-1</v>
      </c>
      <c r="AP110" s="78"/>
      <c r="AQ110" s="114">
        <v>9</v>
      </c>
      <c r="AR110" s="63">
        <f t="shared" si="606"/>
        <v>-2</v>
      </c>
      <c r="AS110" s="59"/>
      <c r="AT110" s="235">
        <v>0.82390874094431876</v>
      </c>
      <c r="AU110" s="59"/>
      <c r="AV110" s="236">
        <v>-7.9181246047624804E-2</v>
      </c>
      <c r="AW110" s="237">
        <v>-7.9181246047624804E-2</v>
      </c>
      <c r="AX110" s="75">
        <f t="shared" si="608"/>
        <v>0</v>
      </c>
      <c r="AY110" s="59"/>
      <c r="AZ110" s="242">
        <v>0.15490195998574319</v>
      </c>
      <c r="BA110" s="71">
        <f t="shared" si="610"/>
        <v>0.23408320603336799</v>
      </c>
      <c r="BB110" s="59"/>
      <c r="BC110" s="229">
        <v>-7.9181246047624804E-2</v>
      </c>
      <c r="BD110" s="91">
        <v>-7.9181246047624804E-2</v>
      </c>
      <c r="BE110" s="75">
        <f t="shared" si="612"/>
        <v>0</v>
      </c>
      <c r="BF110" s="59"/>
      <c r="BG110" s="228">
        <v>-7.9181246047624804E-2</v>
      </c>
      <c r="BH110" s="75">
        <f t="shared" si="614"/>
        <v>0</v>
      </c>
      <c r="BI110" s="78"/>
      <c r="BJ110" s="230"/>
      <c r="BK110" s="93"/>
    </row>
    <row r="111" spans="1:63" ht="15" customHeight="1">
      <c r="A111" s="247">
        <v>14</v>
      </c>
      <c r="B111" s="82" t="s">
        <v>28</v>
      </c>
      <c r="C111" s="232">
        <v>10.115068493150686</v>
      </c>
      <c r="D111" s="97" t="s">
        <v>0</v>
      </c>
      <c r="E111" s="85">
        <v>-4.5</v>
      </c>
      <c r="F111" s="100">
        <f t="shared" ref="F111" si="801">AVERAGE(E111:E112)</f>
        <v>-4.625</v>
      </c>
      <c r="G111" s="288">
        <v>42027</v>
      </c>
      <c r="H111" s="54" t="s">
        <v>9</v>
      </c>
      <c r="I111" s="225">
        <v>25</v>
      </c>
      <c r="J111" s="205">
        <f t="shared" ref="J111" si="802">AVERAGE(I111:I112)</f>
        <v>24.994999999999997</v>
      </c>
      <c r="K111" s="86">
        <v>24.87</v>
      </c>
      <c r="L111" s="58">
        <f t="shared" si="589"/>
        <v>-0.12999999999999901</v>
      </c>
      <c r="M111" s="100">
        <f t="shared" ref="M111" si="803">AVERAGE(L111:L112)</f>
        <v>-0.13999999999999879</v>
      </c>
      <c r="N111" s="86">
        <v>24.8</v>
      </c>
      <c r="O111" s="60">
        <f t="shared" si="591"/>
        <v>-7.0000000000000284E-2</v>
      </c>
      <c r="P111" s="233">
        <f t="shared" ref="P111" si="804">AVERAGE(O111:O112)</f>
        <v>-8.0000000000000071E-2</v>
      </c>
      <c r="Q111" s="86">
        <v>24.86</v>
      </c>
      <c r="R111" s="227">
        <f t="shared" si="593"/>
        <v>-1.0000000000001563E-2</v>
      </c>
      <c r="S111" s="59">
        <f t="shared" ref="S111" si="805">AVERAGE(R111:R112)</f>
        <v>-4.4999999999999929E-2</v>
      </c>
      <c r="T111" s="104">
        <v>24.91</v>
      </c>
      <c r="U111" s="60">
        <f t="shared" si="594"/>
        <v>3.9999999999999147E-2</v>
      </c>
      <c r="V111" s="56">
        <f t="shared" si="595"/>
        <v>4.9999999999990052E-3</v>
      </c>
      <c r="W111" s="104">
        <v>25.06</v>
      </c>
      <c r="X111" s="61">
        <f t="shared" si="596"/>
        <v>0.18999999999999773</v>
      </c>
      <c r="Y111" s="59">
        <f t="shared" ref="Y111" si="806">AVERAGE(X111:X112)</f>
        <v>0.14499999999999957</v>
      </c>
      <c r="Z111" s="61">
        <f t="shared" si="598"/>
        <v>0.19999999999999929</v>
      </c>
      <c r="AA111" s="59">
        <f t="shared" ref="AA111" si="807">AVERAGE(Z111:Z112)</f>
        <v>0.1899999999999995</v>
      </c>
      <c r="AB111" s="71">
        <v>3333</v>
      </c>
      <c r="AC111" s="99">
        <f t="shared" ref="AC111" si="808">AVERAGE(AB111:AB112)</f>
        <v>3322</v>
      </c>
      <c r="AD111" s="87">
        <v>3236</v>
      </c>
      <c r="AE111" s="87">
        <v>2941</v>
      </c>
      <c r="AF111" s="71">
        <f t="shared" si="600"/>
        <v>-295</v>
      </c>
      <c r="AG111" s="99">
        <f t="shared" ref="AG111" si="809">AVERAGE(AF111:AF112)</f>
        <v>-336</v>
      </c>
      <c r="AH111" s="87">
        <v>3076</v>
      </c>
      <c r="AI111" s="71">
        <f t="shared" si="602"/>
        <v>-160</v>
      </c>
      <c r="AJ111" s="98">
        <f t="shared" ref="AJ111" si="810">AVERAGE(AI111:AI112)</f>
        <v>-43</v>
      </c>
      <c r="AK111" s="88">
        <v>13</v>
      </c>
      <c r="AL111" s="78">
        <f t="shared" si="746"/>
        <v>13</v>
      </c>
      <c r="AM111" s="89">
        <v>11</v>
      </c>
      <c r="AN111" s="89">
        <v>10.5</v>
      </c>
      <c r="AO111" s="214">
        <f t="shared" si="604"/>
        <v>-0.5</v>
      </c>
      <c r="AP111" s="78">
        <f t="shared" ref="AP111" si="811">AVERAGE(AO111:AO112)</f>
        <v>-0.25</v>
      </c>
      <c r="AQ111" s="89">
        <v>11</v>
      </c>
      <c r="AR111" s="63">
        <f t="shared" si="606"/>
        <v>0</v>
      </c>
      <c r="AS111" s="59">
        <f t="shared" ref="AS111" si="812">AVERAGE(AR111:AR112)</f>
        <v>-0.15000000000000036</v>
      </c>
      <c r="AT111" s="215">
        <v>1.3979400086720377</v>
      </c>
      <c r="AU111" s="59">
        <v>1.3979400086720377</v>
      </c>
      <c r="AV111" s="216">
        <v>0</v>
      </c>
      <c r="AW111" s="217">
        <v>0</v>
      </c>
      <c r="AX111" s="75">
        <f t="shared" si="608"/>
        <v>0</v>
      </c>
      <c r="AY111" s="59">
        <f t="shared" ref="AY111" si="813">AVERAGE(AX111:AX112)</f>
        <v>2.2878745280337572E-2</v>
      </c>
      <c r="AZ111" s="241">
        <v>0.15490195998574319</v>
      </c>
      <c r="BA111" s="71">
        <f t="shared" si="610"/>
        <v>0.15490195998574319</v>
      </c>
      <c r="BB111" s="59">
        <f t="shared" ref="BB111" si="814">AVERAGE(BA111:BA112)</f>
        <v>0.1259059864968998</v>
      </c>
      <c r="BC111" s="229">
        <v>-7.9181246047624804E-2</v>
      </c>
      <c r="BD111" s="91">
        <v>0.15490195998574319</v>
      </c>
      <c r="BE111" s="75">
        <f t="shared" si="612"/>
        <v>0.23408320603336799</v>
      </c>
      <c r="BF111" s="59">
        <f t="shared" ref="BF111" si="815">AVERAGE(BE111:BE112)</f>
        <v>0.23408320603336799</v>
      </c>
      <c r="BG111" s="228">
        <v>0</v>
      </c>
      <c r="BH111" s="75">
        <f t="shared" si="614"/>
        <v>7.9181246047624804E-2</v>
      </c>
      <c r="BI111" s="78">
        <f t="shared" ref="BI111" si="816">AVERAGE(BH111:BH112)</f>
        <v>7.9181246047624804E-2</v>
      </c>
      <c r="BJ111" s="230">
        <v>100</v>
      </c>
      <c r="BK111" s="93"/>
    </row>
    <row r="112" spans="1:63" ht="15" customHeight="1">
      <c r="A112" s="81"/>
      <c r="B112" s="82"/>
      <c r="C112" s="234"/>
      <c r="D112" s="84"/>
      <c r="E112" s="85">
        <v>-4.75</v>
      </c>
      <c r="F112" s="59"/>
      <c r="G112" s="287"/>
      <c r="H112" s="54" t="s">
        <v>10</v>
      </c>
      <c r="I112" s="225">
        <v>24.99</v>
      </c>
      <c r="J112" s="73"/>
      <c r="K112" s="86">
        <v>24.84</v>
      </c>
      <c r="L112" s="58">
        <f t="shared" si="589"/>
        <v>-0.14999999999999858</v>
      </c>
      <c r="M112" s="59"/>
      <c r="N112" s="86">
        <v>24.75</v>
      </c>
      <c r="O112" s="60">
        <f t="shared" si="591"/>
        <v>-8.9999999999999858E-2</v>
      </c>
      <c r="P112" s="226"/>
      <c r="Q112" s="86">
        <v>24.76</v>
      </c>
      <c r="R112" s="227">
        <f t="shared" si="593"/>
        <v>-7.9999999999998295E-2</v>
      </c>
      <c r="S112" s="59"/>
      <c r="T112" s="86">
        <v>24.81</v>
      </c>
      <c r="U112" s="60">
        <f t="shared" si="594"/>
        <v>-3.0000000000001137E-2</v>
      </c>
      <c r="V112" s="56"/>
      <c r="W112" s="86">
        <v>24.94</v>
      </c>
      <c r="X112" s="61">
        <f t="shared" si="596"/>
        <v>0.10000000000000142</v>
      </c>
      <c r="Y112" s="59"/>
      <c r="Z112" s="61">
        <f t="shared" si="598"/>
        <v>0.17999999999999972</v>
      </c>
      <c r="AA112" s="59"/>
      <c r="AB112" s="71">
        <v>3311</v>
      </c>
      <c r="AC112" s="66"/>
      <c r="AD112" s="87">
        <v>3472</v>
      </c>
      <c r="AE112" s="87">
        <v>3095</v>
      </c>
      <c r="AF112" s="71">
        <f t="shared" si="600"/>
        <v>-377</v>
      </c>
      <c r="AG112" s="66"/>
      <c r="AH112" s="87">
        <v>3546</v>
      </c>
      <c r="AI112" s="71">
        <f t="shared" si="602"/>
        <v>74</v>
      </c>
      <c r="AJ112" s="100"/>
      <c r="AK112" s="88">
        <v>13</v>
      </c>
      <c r="AL112" s="78"/>
      <c r="AM112" s="89">
        <v>11</v>
      </c>
      <c r="AN112" s="89">
        <v>11</v>
      </c>
      <c r="AO112" s="214">
        <f t="shared" si="604"/>
        <v>0</v>
      </c>
      <c r="AP112" s="78"/>
      <c r="AQ112" s="89">
        <v>10.7</v>
      </c>
      <c r="AR112" s="63">
        <f t="shared" si="606"/>
        <v>-0.30000000000000071</v>
      </c>
      <c r="AS112" s="59"/>
      <c r="AT112" s="235">
        <v>1.3979400086720377</v>
      </c>
      <c r="AU112" s="59"/>
      <c r="AV112" s="236">
        <v>0</v>
      </c>
      <c r="AW112" s="237">
        <v>4.5757490560675143E-2</v>
      </c>
      <c r="AX112" s="75">
        <f t="shared" si="608"/>
        <v>4.5757490560675143E-2</v>
      </c>
      <c r="AY112" s="59"/>
      <c r="AZ112" s="242">
        <v>9.691001300805642E-2</v>
      </c>
      <c r="BA112" s="71">
        <f t="shared" si="610"/>
        <v>9.691001300805642E-2</v>
      </c>
      <c r="BB112" s="59"/>
      <c r="BC112" s="229">
        <v>-7.9181246047624804E-2</v>
      </c>
      <c r="BD112" s="91">
        <v>0.15490195998574319</v>
      </c>
      <c r="BE112" s="75">
        <f t="shared" si="612"/>
        <v>0.23408320603336799</v>
      </c>
      <c r="BF112" s="59"/>
      <c r="BG112" s="228">
        <v>0</v>
      </c>
      <c r="BH112" s="75">
        <f t="shared" si="614"/>
        <v>7.9181246047624804E-2</v>
      </c>
      <c r="BI112" s="78"/>
      <c r="BJ112" s="230"/>
      <c r="BK112" s="93"/>
    </row>
    <row r="113" spans="1:63" ht="15" customHeight="1">
      <c r="A113" s="247">
        <v>15</v>
      </c>
      <c r="B113" s="82" t="s">
        <v>28</v>
      </c>
      <c r="C113" s="232">
        <v>10.271232876712329</v>
      </c>
      <c r="D113" s="97" t="s">
        <v>1</v>
      </c>
      <c r="E113" s="85">
        <v>-5.25</v>
      </c>
      <c r="F113" s="100">
        <f t="shared" ref="F113" si="817">AVERAGE(E113:E114)</f>
        <v>-5.4375</v>
      </c>
      <c r="G113" s="288">
        <v>42135</v>
      </c>
      <c r="H113" s="54" t="s">
        <v>9</v>
      </c>
      <c r="I113" s="225">
        <v>25.86</v>
      </c>
      <c r="J113" s="205">
        <f t="shared" ref="J113" si="818">AVERAGE(I113:I114)</f>
        <v>25.78</v>
      </c>
      <c r="K113" s="86">
        <v>25.88</v>
      </c>
      <c r="L113" s="58">
        <f t="shared" si="589"/>
        <v>1.9999999999999574E-2</v>
      </c>
      <c r="M113" s="100">
        <f t="shared" ref="M113" si="819">AVERAGE(L113:L114)</f>
        <v>-1.9999999999999574E-2</v>
      </c>
      <c r="N113" s="86">
        <v>25.96</v>
      </c>
      <c r="O113" s="60">
        <f t="shared" si="591"/>
        <v>8.0000000000001847E-2</v>
      </c>
      <c r="P113" s="233">
        <f t="shared" ref="P113" si="820">AVERAGE(O113:O114)</f>
        <v>4.4999999999999929E-2</v>
      </c>
      <c r="Q113" s="86">
        <v>26.02</v>
      </c>
      <c r="R113" s="227">
        <f t="shared" si="593"/>
        <v>0.14000000000000057</v>
      </c>
      <c r="S113" s="59">
        <f t="shared" ref="S113:S115" si="821">AVERAGE(R113:R114)</f>
        <v>4.4999999999999929E-2</v>
      </c>
      <c r="T113" s="86">
        <v>26.17</v>
      </c>
      <c r="U113" s="60">
        <f t="shared" si="594"/>
        <v>0.2900000000000027</v>
      </c>
      <c r="V113" s="56">
        <f t="shared" si="595"/>
        <v>0.16500000000000092</v>
      </c>
      <c r="W113" s="86">
        <v>26.24</v>
      </c>
      <c r="X113" s="61">
        <f t="shared" si="596"/>
        <v>0.35999999999999943</v>
      </c>
      <c r="Y113" s="59">
        <f t="shared" ref="Y113" si="822">AVERAGE(X113:X114)</f>
        <v>0.19999999999999929</v>
      </c>
      <c r="Z113" s="61">
        <f t="shared" si="598"/>
        <v>0.21999999999999886</v>
      </c>
      <c r="AA113" s="59">
        <f t="shared" ref="AA113" si="823">AVERAGE(Z113:Z114)</f>
        <v>0.15499999999999936</v>
      </c>
      <c r="AB113" s="71">
        <v>3225</v>
      </c>
      <c r="AC113" s="99">
        <f t="shared" ref="AC113" si="824">AVERAGE(AB113:AB114)</f>
        <v>3411</v>
      </c>
      <c r="AD113" s="87">
        <v>3731</v>
      </c>
      <c r="AE113" s="87">
        <v>3984</v>
      </c>
      <c r="AF113" s="71">
        <f t="shared" si="600"/>
        <v>253</v>
      </c>
      <c r="AG113" s="99">
        <f t="shared" ref="AG113" si="825">AVERAGE(AF113:AF114)</f>
        <v>-125.5</v>
      </c>
      <c r="AH113" s="87">
        <v>3472</v>
      </c>
      <c r="AI113" s="71">
        <f t="shared" si="602"/>
        <v>-259</v>
      </c>
      <c r="AJ113" s="98">
        <f t="shared" ref="AJ113" si="826">AVERAGE(AI113:AI114)</f>
        <v>-337.5</v>
      </c>
      <c r="AK113" s="88">
        <v>13</v>
      </c>
      <c r="AL113" s="78">
        <f t="shared" si="746"/>
        <v>13</v>
      </c>
      <c r="AM113" s="89">
        <v>10.3</v>
      </c>
      <c r="AN113" s="89">
        <v>10.3</v>
      </c>
      <c r="AO113" s="214">
        <f t="shared" si="604"/>
        <v>0</v>
      </c>
      <c r="AP113" s="78">
        <f t="shared" ref="AP113" si="827">AVERAGE(AO113:AO114)</f>
        <v>9.9999999999999645E-2</v>
      </c>
      <c r="AQ113" s="89">
        <v>10.7</v>
      </c>
      <c r="AR113" s="63">
        <f t="shared" si="606"/>
        <v>0.39999999999999858</v>
      </c>
      <c r="AS113" s="59">
        <f t="shared" ref="AS113" si="828">AVERAGE(AR113:AR114)</f>
        <v>-0.70000000000000107</v>
      </c>
      <c r="AT113" s="215">
        <v>1.2218487496163564</v>
      </c>
      <c r="AU113" s="59">
        <v>1.2218487496163564</v>
      </c>
      <c r="AV113" s="216">
        <v>0</v>
      </c>
      <c r="AW113" s="217">
        <v>-7.9181246047624804E-2</v>
      </c>
      <c r="AX113" s="75">
        <f t="shared" si="608"/>
        <v>-7.9181246047624804E-2</v>
      </c>
      <c r="AY113" s="59">
        <f t="shared" ref="AY113" si="829">AVERAGE(AX113:AX114)</f>
        <v>0</v>
      </c>
      <c r="AZ113" s="241">
        <v>-7.9181246047624804E-2</v>
      </c>
      <c r="BA113" s="71">
        <f t="shared" si="610"/>
        <v>-7.9181246047624804E-2</v>
      </c>
      <c r="BB113" s="59">
        <f t="shared" ref="BB113" si="830">AVERAGE(BA113:BA114)</f>
        <v>-3.9590623023812402E-2</v>
      </c>
      <c r="BC113" s="229">
        <v>-7.9181246047624804E-2</v>
      </c>
      <c r="BD113" s="91">
        <v>-7.9181246047624804E-2</v>
      </c>
      <c r="BE113" s="75">
        <f t="shared" si="612"/>
        <v>0</v>
      </c>
      <c r="BF113" s="59">
        <f t="shared" ref="BF113" si="831">AVERAGE(BE113:BE114)</f>
        <v>0</v>
      </c>
      <c r="BG113" s="228">
        <v>0</v>
      </c>
      <c r="BH113" s="75">
        <f t="shared" si="614"/>
        <v>7.9181246047624804E-2</v>
      </c>
      <c r="BI113" s="78">
        <f t="shared" ref="BI113" si="832">AVERAGE(BH113:BH114)</f>
        <v>8.8045629527840619E-2</v>
      </c>
      <c r="BJ113" s="230">
        <v>100</v>
      </c>
      <c r="BK113" s="93"/>
    </row>
    <row r="114" spans="1:63" ht="15" customHeight="1">
      <c r="A114" s="81"/>
      <c r="B114" s="82"/>
      <c r="C114" s="234"/>
      <c r="D114" s="84"/>
      <c r="E114" s="85">
        <v>-5.625</v>
      </c>
      <c r="F114" s="59"/>
      <c r="G114" s="287"/>
      <c r="H114" s="54" t="s">
        <v>10</v>
      </c>
      <c r="I114" s="225">
        <v>25.7</v>
      </c>
      <c r="J114" s="73"/>
      <c r="K114" s="86">
        <v>25.64</v>
      </c>
      <c r="L114" s="58">
        <f t="shared" si="589"/>
        <v>-5.9999999999998721E-2</v>
      </c>
      <c r="M114" s="59"/>
      <c r="N114" s="86">
        <v>25.65</v>
      </c>
      <c r="O114" s="60">
        <f t="shared" si="591"/>
        <v>9.9999999999980105E-3</v>
      </c>
      <c r="P114" s="226"/>
      <c r="Q114" s="86">
        <v>25.59</v>
      </c>
      <c r="R114" s="227">
        <f t="shared" si="593"/>
        <v>-5.0000000000000711E-2</v>
      </c>
      <c r="S114" s="59"/>
      <c r="T114" s="86">
        <v>25.68</v>
      </c>
      <c r="U114" s="60">
        <f t="shared" si="594"/>
        <v>3.9999999999999147E-2</v>
      </c>
      <c r="V114" s="56"/>
      <c r="W114" s="86">
        <v>25.68</v>
      </c>
      <c r="X114" s="61">
        <f t="shared" si="596"/>
        <v>3.9999999999999147E-2</v>
      </c>
      <c r="Y114" s="59"/>
      <c r="Z114" s="61">
        <f t="shared" si="598"/>
        <v>8.9999999999999858E-2</v>
      </c>
      <c r="AA114" s="59"/>
      <c r="AB114" s="71">
        <v>3597</v>
      </c>
      <c r="AC114" s="66"/>
      <c r="AD114" s="87">
        <v>4291</v>
      </c>
      <c r="AE114" s="87">
        <v>3787</v>
      </c>
      <c r="AF114" s="71">
        <f t="shared" si="600"/>
        <v>-504</v>
      </c>
      <c r="AG114" s="66"/>
      <c r="AH114" s="87">
        <v>3875</v>
      </c>
      <c r="AI114" s="71">
        <f t="shared" si="602"/>
        <v>-416</v>
      </c>
      <c r="AJ114" s="100"/>
      <c r="AK114" s="88">
        <v>13</v>
      </c>
      <c r="AL114" s="78"/>
      <c r="AM114" s="89">
        <v>9.3000000000000007</v>
      </c>
      <c r="AN114" s="89">
        <v>9.5</v>
      </c>
      <c r="AO114" s="214">
        <f t="shared" si="604"/>
        <v>0.19999999999999929</v>
      </c>
      <c r="AP114" s="78"/>
      <c r="AQ114" s="89">
        <v>7.5</v>
      </c>
      <c r="AR114" s="63">
        <f t="shared" si="606"/>
        <v>-1.8000000000000007</v>
      </c>
      <c r="AS114" s="59"/>
      <c r="AT114" s="235">
        <v>1.2218487496163564</v>
      </c>
      <c r="AU114" s="59"/>
      <c r="AV114" s="236">
        <v>-7.9181246047624804E-2</v>
      </c>
      <c r="AW114" s="237">
        <v>0</v>
      </c>
      <c r="AX114" s="75">
        <f t="shared" si="608"/>
        <v>7.9181246047624804E-2</v>
      </c>
      <c r="AY114" s="59"/>
      <c r="AZ114" s="242">
        <v>-7.9181246047624804E-2</v>
      </c>
      <c r="BA114" s="71">
        <f t="shared" si="610"/>
        <v>0</v>
      </c>
      <c r="BB114" s="59"/>
      <c r="BC114" s="229">
        <v>0</v>
      </c>
      <c r="BD114" s="91">
        <v>0</v>
      </c>
      <c r="BE114" s="75">
        <f t="shared" si="612"/>
        <v>0</v>
      </c>
      <c r="BF114" s="59"/>
      <c r="BG114" s="228">
        <v>9.691001300805642E-2</v>
      </c>
      <c r="BH114" s="75">
        <f t="shared" si="614"/>
        <v>9.691001300805642E-2</v>
      </c>
      <c r="BI114" s="78"/>
      <c r="BJ114" s="230"/>
      <c r="BK114" s="93"/>
    </row>
    <row r="115" spans="1:63" ht="15" customHeight="1">
      <c r="A115" s="247">
        <v>16</v>
      </c>
      <c r="B115" s="82" t="s">
        <v>28</v>
      </c>
      <c r="C115" s="232">
        <v>9.4082191780821915</v>
      </c>
      <c r="D115" s="97" t="s">
        <v>1</v>
      </c>
      <c r="E115" s="85">
        <v>-4.5</v>
      </c>
      <c r="F115" s="100">
        <f t="shared" ref="F115" si="833">AVERAGE(E115:E116)</f>
        <v>-4.875</v>
      </c>
      <c r="G115" s="288">
        <v>42212</v>
      </c>
      <c r="H115" s="54" t="s">
        <v>9</v>
      </c>
      <c r="I115" s="225">
        <v>24.77</v>
      </c>
      <c r="J115" s="205">
        <f t="shared" ref="J115" si="834">AVERAGE(I115:I116)</f>
        <v>24.865000000000002</v>
      </c>
      <c r="K115" s="86">
        <v>24.71</v>
      </c>
      <c r="L115" s="58">
        <f t="shared" si="589"/>
        <v>-5.9999999999998721E-2</v>
      </c>
      <c r="M115" s="100">
        <f t="shared" ref="M115" si="835">AVERAGE(L115:L116)</f>
        <v>-0.12999999999999901</v>
      </c>
      <c r="N115" s="86">
        <v>24.79</v>
      </c>
      <c r="O115" s="60">
        <f t="shared" si="591"/>
        <v>7.9999999999998295E-2</v>
      </c>
      <c r="P115" s="233">
        <f t="shared" ref="P115" si="836">AVERAGE(O115:O116)</f>
        <v>4.4999999999998153E-2</v>
      </c>
      <c r="Q115" s="86">
        <v>24.86</v>
      </c>
      <c r="R115" s="227">
        <f t="shared" si="593"/>
        <v>0.14999999999999858</v>
      </c>
      <c r="S115" s="59">
        <f t="shared" si="821"/>
        <v>6.4999999999997726E-2</v>
      </c>
      <c r="T115" s="86">
        <v>24.99</v>
      </c>
      <c r="U115" s="60">
        <f t="shared" si="594"/>
        <v>0.27999999999999758</v>
      </c>
      <c r="V115" s="56">
        <f t="shared" si="595"/>
        <v>0.15499999999999758</v>
      </c>
      <c r="W115" s="86">
        <v>25.17</v>
      </c>
      <c r="X115" s="61">
        <f t="shared" si="596"/>
        <v>0.46000000000000085</v>
      </c>
      <c r="Y115" s="59">
        <f t="shared" ref="Y115:Y117" si="837">AVERAGE(X115:X116)</f>
        <v>0.22499999999999964</v>
      </c>
      <c r="Z115" s="61">
        <f t="shared" si="598"/>
        <v>0.31000000000000227</v>
      </c>
      <c r="AA115" s="59">
        <f t="shared" ref="AA115" si="838">AVERAGE(Z115:Z116)</f>
        <v>0.16000000000000192</v>
      </c>
      <c r="AB115" s="71">
        <v>3289</v>
      </c>
      <c r="AC115" s="99">
        <f t="shared" ref="AC115" si="839">AVERAGE(AB115:AB116)</f>
        <v>3362.5</v>
      </c>
      <c r="AD115" s="87">
        <v>3246</v>
      </c>
      <c r="AE115" s="87">
        <v>3067</v>
      </c>
      <c r="AF115" s="71">
        <f t="shared" si="600"/>
        <v>-179</v>
      </c>
      <c r="AG115" s="99">
        <f t="shared" ref="AG115" si="840">AVERAGE(AF115:AF116)</f>
        <v>-225</v>
      </c>
      <c r="AH115" s="87">
        <v>3389</v>
      </c>
      <c r="AI115" s="71">
        <f t="shared" si="602"/>
        <v>143</v>
      </c>
      <c r="AJ115" s="98">
        <f t="shared" ref="AJ115" si="841">AVERAGE(AI115:AI116)</f>
        <v>133.5</v>
      </c>
      <c r="AK115" s="88">
        <v>14</v>
      </c>
      <c r="AL115" s="78">
        <f t="shared" si="746"/>
        <v>14.25</v>
      </c>
      <c r="AM115" s="89">
        <v>13.5</v>
      </c>
      <c r="AN115" s="89">
        <v>13</v>
      </c>
      <c r="AO115" s="214">
        <f t="shared" si="604"/>
        <v>-0.5</v>
      </c>
      <c r="AP115" s="78">
        <f t="shared" ref="AP115" si="842">AVERAGE(AO115:AO116)</f>
        <v>-0.15000000000000036</v>
      </c>
      <c r="AQ115" s="89">
        <v>11</v>
      </c>
      <c r="AR115" s="63">
        <f t="shared" si="606"/>
        <v>-2.5</v>
      </c>
      <c r="AS115" s="59">
        <f t="shared" ref="AS115" si="843">AVERAGE(AR115:AR116)</f>
        <v>-1.8499999999999996</v>
      </c>
      <c r="AT115" s="215">
        <v>0.82390874094431876</v>
      </c>
      <c r="AU115" s="59">
        <v>0.96040937697618767</v>
      </c>
      <c r="AV115" s="216">
        <v>4.5757490560675143E-2</v>
      </c>
      <c r="AW115" s="217">
        <v>4.5757490560675143E-2</v>
      </c>
      <c r="AX115" s="75">
        <f t="shared" si="608"/>
        <v>0</v>
      </c>
      <c r="AY115" s="59">
        <f t="shared" ref="AY115" si="844">AVERAGE(AX115:AX116)</f>
        <v>-3.9590623023812402E-2</v>
      </c>
      <c r="AZ115" s="241">
        <v>9.691001300805642E-2</v>
      </c>
      <c r="BA115" s="71">
        <f t="shared" si="610"/>
        <v>5.1152522447381277E-2</v>
      </c>
      <c r="BB115" s="59">
        <f t="shared" ref="BB115" si="845">AVERAGE(BA115:BA116)</f>
        <v>2.5576261223690638E-2</v>
      </c>
      <c r="BC115" s="229">
        <v>-7.9181246047624804E-2</v>
      </c>
      <c r="BD115" s="91">
        <v>-7.9181246047624804E-2</v>
      </c>
      <c r="BE115" s="75">
        <f t="shared" si="612"/>
        <v>0</v>
      </c>
      <c r="BF115" s="59">
        <f t="shared" ref="BF115" si="846">AVERAGE(BE115:BE116)</f>
        <v>3.9590623023812402E-2</v>
      </c>
      <c r="BG115" s="228">
        <v>0</v>
      </c>
      <c r="BH115" s="75">
        <f t="shared" si="614"/>
        <v>7.9181246047624804E-2</v>
      </c>
      <c r="BI115" s="78">
        <f t="shared" ref="BI115" si="847">AVERAGE(BH115:BH116)</f>
        <v>7.9181246047624804E-2</v>
      </c>
      <c r="BJ115" s="230">
        <v>86</v>
      </c>
      <c r="BK115" s="93"/>
    </row>
    <row r="116" spans="1:63" ht="15" customHeight="1">
      <c r="A116" s="81"/>
      <c r="B116" s="82"/>
      <c r="C116" s="234"/>
      <c r="D116" s="84"/>
      <c r="E116" s="85">
        <v>-5.25</v>
      </c>
      <c r="F116" s="59"/>
      <c r="G116" s="287"/>
      <c r="H116" s="54" t="s">
        <v>10</v>
      </c>
      <c r="I116" s="225">
        <v>24.96</v>
      </c>
      <c r="J116" s="73"/>
      <c r="K116" s="86">
        <v>24.76</v>
      </c>
      <c r="L116" s="58">
        <f t="shared" si="589"/>
        <v>-0.19999999999999929</v>
      </c>
      <c r="M116" s="59"/>
      <c r="N116" s="86">
        <v>24.77</v>
      </c>
      <c r="O116" s="60">
        <f t="shared" si="591"/>
        <v>9.9999999999980105E-3</v>
      </c>
      <c r="P116" s="226"/>
      <c r="Q116" s="86">
        <v>24.74</v>
      </c>
      <c r="R116" s="227">
        <f t="shared" si="593"/>
        <v>-2.0000000000003126E-2</v>
      </c>
      <c r="S116" s="59"/>
      <c r="T116" s="86">
        <v>24.79</v>
      </c>
      <c r="U116" s="60">
        <f t="shared" si="594"/>
        <v>2.9999999999997584E-2</v>
      </c>
      <c r="V116" s="56"/>
      <c r="W116" s="86">
        <v>24.75</v>
      </c>
      <c r="X116" s="61">
        <f t="shared" si="596"/>
        <v>-1.0000000000001563E-2</v>
      </c>
      <c r="Y116" s="59"/>
      <c r="Z116" s="61">
        <f t="shared" si="598"/>
        <v>1.0000000000001563E-2</v>
      </c>
      <c r="AA116" s="59"/>
      <c r="AB116" s="71">
        <v>3436</v>
      </c>
      <c r="AC116" s="66"/>
      <c r="AD116" s="87">
        <v>3649</v>
      </c>
      <c r="AE116" s="87">
        <v>3378</v>
      </c>
      <c r="AF116" s="71">
        <f t="shared" si="600"/>
        <v>-271</v>
      </c>
      <c r="AG116" s="66"/>
      <c r="AH116" s="87">
        <v>3773</v>
      </c>
      <c r="AI116" s="71">
        <f t="shared" si="602"/>
        <v>124</v>
      </c>
      <c r="AJ116" s="100"/>
      <c r="AK116" s="88">
        <v>14.5</v>
      </c>
      <c r="AL116" s="78"/>
      <c r="AM116" s="89">
        <v>11.5</v>
      </c>
      <c r="AN116" s="89">
        <v>11.7</v>
      </c>
      <c r="AO116" s="214">
        <f t="shared" si="604"/>
        <v>0.19999999999999929</v>
      </c>
      <c r="AP116" s="78"/>
      <c r="AQ116" s="89">
        <v>10.3</v>
      </c>
      <c r="AR116" s="63">
        <f t="shared" si="606"/>
        <v>-1.1999999999999993</v>
      </c>
      <c r="AS116" s="59"/>
      <c r="AT116" s="235">
        <v>1.0969100130080565</v>
      </c>
      <c r="AU116" s="59"/>
      <c r="AV116" s="236">
        <v>0</v>
      </c>
      <c r="AW116" s="237">
        <v>-7.9181246047624804E-2</v>
      </c>
      <c r="AX116" s="75">
        <f t="shared" si="608"/>
        <v>-7.9181246047624804E-2</v>
      </c>
      <c r="AY116" s="59"/>
      <c r="AZ116" s="242">
        <v>0</v>
      </c>
      <c r="BA116" s="71">
        <f t="shared" si="610"/>
        <v>0</v>
      </c>
      <c r="BB116" s="59"/>
      <c r="BC116" s="229">
        <v>-7.9181246047624804E-2</v>
      </c>
      <c r="BD116" s="91">
        <v>0</v>
      </c>
      <c r="BE116" s="75">
        <f t="shared" si="612"/>
        <v>7.9181246047624804E-2</v>
      </c>
      <c r="BF116" s="59"/>
      <c r="BG116" s="228">
        <v>0</v>
      </c>
      <c r="BH116" s="75">
        <f t="shared" si="614"/>
        <v>7.9181246047624804E-2</v>
      </c>
      <c r="BI116" s="78"/>
      <c r="BJ116" s="230"/>
      <c r="BK116" s="93"/>
    </row>
    <row r="117" spans="1:63" ht="15" customHeight="1">
      <c r="A117" s="247">
        <v>17</v>
      </c>
      <c r="B117" s="82" t="s">
        <v>29</v>
      </c>
      <c r="C117" s="243">
        <v>8.5041095890410965</v>
      </c>
      <c r="D117" s="97" t="s">
        <v>1</v>
      </c>
      <c r="E117" s="107">
        <v>-4</v>
      </c>
      <c r="F117" s="100">
        <f t="shared" ref="F117" si="848">AVERAGE(E117:E118)</f>
        <v>-4.25</v>
      </c>
      <c r="G117" s="290">
        <v>41999</v>
      </c>
      <c r="H117" s="135" t="s">
        <v>9</v>
      </c>
      <c r="I117" s="244">
        <v>24.74</v>
      </c>
      <c r="J117" s="205">
        <f t="shared" ref="J117" si="849">AVERAGE(I117:I118)</f>
        <v>24.795000000000002</v>
      </c>
      <c r="K117" s="118">
        <v>24.65</v>
      </c>
      <c r="L117" s="58">
        <f t="shared" si="589"/>
        <v>-8.9999999999999858E-2</v>
      </c>
      <c r="M117" s="100">
        <f t="shared" ref="M117" si="850">AVERAGE(L117:L118)</f>
        <v>-0.10000000000000142</v>
      </c>
      <c r="N117" s="118">
        <v>24.57</v>
      </c>
      <c r="O117" s="60">
        <f t="shared" si="591"/>
        <v>-7.9999999999998295E-2</v>
      </c>
      <c r="P117" s="233">
        <f t="shared" ref="P117" si="851">AVERAGE(O117:O118)</f>
        <v>-7.9999999999998295E-2</v>
      </c>
      <c r="Q117" s="118">
        <v>24.72</v>
      </c>
      <c r="R117" s="227">
        <f t="shared" si="593"/>
        <v>7.0000000000000284E-2</v>
      </c>
      <c r="S117" s="59">
        <f t="shared" ref="S117" si="852">AVERAGE(R117:R118)</f>
        <v>2.5000000000000355E-2</v>
      </c>
      <c r="T117" s="104">
        <v>24.65</v>
      </c>
      <c r="U117" s="60">
        <f t="shared" ref="U117:U148" si="853">T117-K117</f>
        <v>0</v>
      </c>
      <c r="V117" s="56">
        <f t="shared" si="595"/>
        <v>-9.9999999999997868E-3</v>
      </c>
      <c r="W117" s="104">
        <v>24.78</v>
      </c>
      <c r="X117" s="61">
        <f t="shared" ref="X117:X148" si="854">W117-K117</f>
        <v>0.13000000000000256</v>
      </c>
      <c r="Y117" s="59">
        <f t="shared" si="837"/>
        <v>0.1050000000000022</v>
      </c>
      <c r="Z117" s="61">
        <f t="shared" ref="Z117:Z148" si="855">W117-Q117</f>
        <v>6.0000000000002274E-2</v>
      </c>
      <c r="AA117" s="59">
        <f t="shared" ref="AA117" si="856">AVERAGE(Z117:Z118)</f>
        <v>8.0000000000001847E-2</v>
      </c>
      <c r="AB117" s="111">
        <v>3106</v>
      </c>
      <c r="AC117" s="99">
        <f t="shared" ref="AC117" si="857">AVERAGE(AB117:AB118)</f>
        <v>3032.5</v>
      </c>
      <c r="AD117" s="112">
        <v>3077</v>
      </c>
      <c r="AE117" s="112">
        <v>2920</v>
      </c>
      <c r="AF117" s="71">
        <f t="shared" ref="AF117:AF148" si="858">AE117-AD117</f>
        <v>-157</v>
      </c>
      <c r="AG117" s="99">
        <f t="shared" ref="AG117" si="859">AVERAGE(AF117:AF118)</f>
        <v>-156</v>
      </c>
      <c r="AH117" s="112">
        <v>2809</v>
      </c>
      <c r="AI117" s="71">
        <f t="shared" ref="AI117:AI148" si="860">AH117-AD117</f>
        <v>-268</v>
      </c>
      <c r="AJ117" s="98">
        <f t="shared" ref="AJ117" si="861">AVERAGE(AI117:AI118)</f>
        <v>-223</v>
      </c>
      <c r="AK117" s="113">
        <v>15</v>
      </c>
      <c r="AL117" s="78">
        <f t="shared" si="746"/>
        <v>18</v>
      </c>
      <c r="AM117" s="114">
        <v>16</v>
      </c>
      <c r="AN117" s="114">
        <v>14</v>
      </c>
      <c r="AO117" s="214">
        <f t="shared" ref="AO117:AO148" si="862">AN117-AM117</f>
        <v>-2</v>
      </c>
      <c r="AP117" s="78">
        <f t="shared" ref="AP117" si="863">AVERAGE(AO117:AO118)</f>
        <v>0</v>
      </c>
      <c r="AQ117" s="114">
        <v>13</v>
      </c>
      <c r="AR117" s="63">
        <f t="shared" ref="AR117:AR148" si="864">AQ117-AM117</f>
        <v>-3</v>
      </c>
      <c r="AS117" s="59">
        <f t="shared" ref="AS117" si="865">AVERAGE(AR117:AR118)</f>
        <v>-2</v>
      </c>
      <c r="AT117" s="215">
        <v>1</v>
      </c>
      <c r="AU117" s="59">
        <v>0.76143937264016881</v>
      </c>
      <c r="AV117" s="216">
        <v>0</v>
      </c>
      <c r="AW117" s="217">
        <v>-7.9181246047624804E-2</v>
      </c>
      <c r="AX117" s="75">
        <f t="shared" ref="AX117:AX148" si="866">AW117-AV117</f>
        <v>-7.9181246047624804E-2</v>
      </c>
      <c r="AY117" s="59">
        <f t="shared" ref="AY117" si="867">AVERAGE(AX117:AX118)</f>
        <v>0</v>
      </c>
      <c r="AZ117" s="241">
        <v>-7.9181246047624804E-2</v>
      </c>
      <c r="BA117" s="71">
        <f t="shared" ref="BA117:BA148" si="868">AZ117-AV117</f>
        <v>-7.9181246047624804E-2</v>
      </c>
      <c r="BB117" s="59">
        <f t="shared" ref="BB117" si="869">AVERAGE(BA117:BA118)</f>
        <v>-3.9590623023812402E-2</v>
      </c>
      <c r="BC117" s="229">
        <v>0</v>
      </c>
      <c r="BD117" s="91">
        <v>0.15490195998574319</v>
      </c>
      <c r="BE117" s="75">
        <f t="shared" ref="BE117:BE148" si="870">BD117-BC117</f>
        <v>0.15490195998574319</v>
      </c>
      <c r="BF117" s="59">
        <f t="shared" ref="BF117" si="871">AVERAGE(BE117:BE118)</f>
        <v>0.15490195998574319</v>
      </c>
      <c r="BG117" s="228">
        <v>-7.9181246047624804E-2</v>
      </c>
      <c r="BH117" s="75">
        <f t="shared" ref="BH117:BH148" si="872">BG117-BC117</f>
        <v>-7.9181246047624804E-2</v>
      </c>
      <c r="BI117" s="78">
        <f t="shared" ref="BI117" si="873">AVERAGE(BH117:BH118)</f>
        <v>-7.9181246047624804E-2</v>
      </c>
      <c r="BJ117" s="230">
        <v>100</v>
      </c>
      <c r="BK117" s="93"/>
    </row>
    <row r="118" spans="1:63" ht="15" customHeight="1">
      <c r="A118" s="81"/>
      <c r="B118" s="82"/>
      <c r="C118" s="245"/>
      <c r="D118" s="84"/>
      <c r="E118" s="107">
        <v>-4.5</v>
      </c>
      <c r="F118" s="59"/>
      <c r="G118" s="291"/>
      <c r="H118" s="135" t="s">
        <v>10</v>
      </c>
      <c r="I118" s="244">
        <v>24.85</v>
      </c>
      <c r="J118" s="73"/>
      <c r="K118" s="118">
        <v>24.74</v>
      </c>
      <c r="L118" s="58">
        <f t="shared" si="589"/>
        <v>-0.11000000000000298</v>
      </c>
      <c r="M118" s="59"/>
      <c r="N118" s="118">
        <v>24.66</v>
      </c>
      <c r="O118" s="60">
        <f t="shared" si="591"/>
        <v>-7.9999999999998295E-2</v>
      </c>
      <c r="P118" s="226"/>
      <c r="Q118" s="118">
        <v>24.72</v>
      </c>
      <c r="R118" s="227">
        <f t="shared" si="593"/>
        <v>-1.9999999999999574E-2</v>
      </c>
      <c r="S118" s="59"/>
      <c r="T118" s="104">
        <v>24.72</v>
      </c>
      <c r="U118" s="60">
        <f t="shared" si="853"/>
        <v>-1.9999999999999574E-2</v>
      </c>
      <c r="V118" s="56"/>
      <c r="W118" s="104">
        <v>24.82</v>
      </c>
      <c r="X118" s="61">
        <f t="shared" si="854"/>
        <v>8.0000000000001847E-2</v>
      </c>
      <c r="Y118" s="59"/>
      <c r="Z118" s="61">
        <f t="shared" si="855"/>
        <v>0.10000000000000142</v>
      </c>
      <c r="AA118" s="59"/>
      <c r="AB118" s="111">
        <v>2959</v>
      </c>
      <c r="AC118" s="66"/>
      <c r="AD118" s="112">
        <v>3067</v>
      </c>
      <c r="AE118" s="112">
        <v>2912</v>
      </c>
      <c r="AF118" s="71">
        <f t="shared" si="858"/>
        <v>-155</v>
      </c>
      <c r="AG118" s="66"/>
      <c r="AH118" s="112">
        <v>2889</v>
      </c>
      <c r="AI118" s="71">
        <f t="shared" si="860"/>
        <v>-178</v>
      </c>
      <c r="AJ118" s="100"/>
      <c r="AK118" s="113">
        <v>21</v>
      </c>
      <c r="AL118" s="78"/>
      <c r="AM118" s="114">
        <v>16</v>
      </c>
      <c r="AN118" s="114">
        <v>18</v>
      </c>
      <c r="AO118" s="214">
        <f t="shared" si="862"/>
        <v>2</v>
      </c>
      <c r="AP118" s="78"/>
      <c r="AQ118" s="114">
        <v>15</v>
      </c>
      <c r="AR118" s="63">
        <f t="shared" si="864"/>
        <v>-1</v>
      </c>
      <c r="AS118" s="59"/>
      <c r="AT118" s="235">
        <v>0.52287874528033762</v>
      </c>
      <c r="AU118" s="59"/>
      <c r="AV118" s="236">
        <v>-7.9181246047624804E-2</v>
      </c>
      <c r="AW118" s="237">
        <v>0</v>
      </c>
      <c r="AX118" s="75">
        <f t="shared" si="866"/>
        <v>7.9181246047624804E-2</v>
      </c>
      <c r="AY118" s="59"/>
      <c r="AZ118" s="242">
        <v>-7.9181246047624804E-2</v>
      </c>
      <c r="BA118" s="71">
        <f t="shared" si="868"/>
        <v>0</v>
      </c>
      <c r="BB118" s="59"/>
      <c r="BC118" s="229">
        <v>0</v>
      </c>
      <c r="BD118" s="91">
        <v>0.15490195998574319</v>
      </c>
      <c r="BE118" s="75">
        <f t="shared" si="870"/>
        <v>0.15490195998574319</v>
      </c>
      <c r="BF118" s="59"/>
      <c r="BG118" s="228">
        <v>-7.9181246047624804E-2</v>
      </c>
      <c r="BH118" s="75">
        <f t="shared" si="872"/>
        <v>-7.9181246047624804E-2</v>
      </c>
      <c r="BI118" s="78"/>
      <c r="BJ118" s="230"/>
      <c r="BK118" s="93"/>
    </row>
    <row r="119" spans="1:63" ht="15" customHeight="1">
      <c r="A119" s="231">
        <v>18</v>
      </c>
      <c r="B119" s="82" t="s">
        <v>29</v>
      </c>
      <c r="C119" s="243">
        <v>8</v>
      </c>
      <c r="D119" s="97" t="s">
        <v>1</v>
      </c>
      <c r="E119" s="107">
        <v>-2</v>
      </c>
      <c r="F119" s="100">
        <f t="shared" ref="F119" si="874">AVERAGE(E119:E120)</f>
        <v>-2.25</v>
      </c>
      <c r="G119" s="290">
        <v>42142</v>
      </c>
      <c r="H119" s="135" t="s">
        <v>9</v>
      </c>
      <c r="I119" s="111">
        <v>25.12</v>
      </c>
      <c r="J119" s="205">
        <f t="shared" ref="J119" si="875">AVERAGE(I119:I120)</f>
        <v>25.134999999999998</v>
      </c>
      <c r="K119" s="118">
        <v>25.21</v>
      </c>
      <c r="L119" s="58">
        <f t="shared" si="589"/>
        <v>8.9999999999999858E-2</v>
      </c>
      <c r="M119" s="100">
        <f t="shared" ref="M119" si="876">AVERAGE(L119:L120)</f>
        <v>7.0000000000000284E-2</v>
      </c>
      <c r="N119" s="118">
        <v>25.36</v>
      </c>
      <c r="O119" s="60">
        <f t="shared" si="591"/>
        <v>0.14999999999999858</v>
      </c>
      <c r="P119" s="233">
        <f t="shared" ref="P119" si="877">AVERAGE(O119:O120)</f>
        <v>0.1850000000000005</v>
      </c>
      <c r="Q119" s="118">
        <v>25.55</v>
      </c>
      <c r="R119" s="227">
        <f t="shared" si="593"/>
        <v>0.33999999999999986</v>
      </c>
      <c r="S119" s="59">
        <f t="shared" ref="S119" si="878">AVERAGE(R119:R120)</f>
        <v>0.38000000000000078</v>
      </c>
      <c r="T119" s="110">
        <v>25.49</v>
      </c>
      <c r="U119" s="60">
        <f t="shared" si="853"/>
        <v>0.27999999999999758</v>
      </c>
      <c r="V119" s="56">
        <f t="shared" si="595"/>
        <v>0.4399999999999995</v>
      </c>
      <c r="W119" s="110">
        <v>25.83</v>
      </c>
      <c r="X119" s="61">
        <f t="shared" si="854"/>
        <v>0.61999999999999744</v>
      </c>
      <c r="Y119" s="59">
        <f t="shared" ref="Y119" si="879">AVERAGE(X119:X120)</f>
        <v>0.6899999999999995</v>
      </c>
      <c r="Z119" s="61">
        <f t="shared" si="855"/>
        <v>0.27999999999999758</v>
      </c>
      <c r="AA119" s="59">
        <f t="shared" ref="AA119" si="880">AVERAGE(Z119:Z120)</f>
        <v>0.30999999999999872</v>
      </c>
      <c r="AB119" s="111">
        <v>3205</v>
      </c>
      <c r="AC119" s="99">
        <f t="shared" ref="AC119" si="881">AVERAGE(AB119:AB120)</f>
        <v>3003</v>
      </c>
      <c r="AD119" s="112">
        <v>3367</v>
      </c>
      <c r="AE119" s="112">
        <v>3470</v>
      </c>
      <c r="AF119" s="71">
        <f t="shared" si="858"/>
        <v>103</v>
      </c>
      <c r="AG119" s="99">
        <f t="shared" ref="AG119" si="882">AVERAGE(AF119:AF120)</f>
        <v>66</v>
      </c>
      <c r="AH119" s="112">
        <v>3170</v>
      </c>
      <c r="AI119" s="71">
        <f t="shared" si="860"/>
        <v>-197</v>
      </c>
      <c r="AJ119" s="98">
        <f t="shared" ref="AJ119" si="883">AVERAGE(AI119:AI120)</f>
        <v>-97.5</v>
      </c>
      <c r="AK119" s="113">
        <v>14</v>
      </c>
      <c r="AL119" s="78">
        <f t="shared" si="746"/>
        <v>14</v>
      </c>
      <c r="AM119" s="114">
        <v>14</v>
      </c>
      <c r="AN119" s="114">
        <v>11</v>
      </c>
      <c r="AO119" s="214">
        <f t="shared" si="862"/>
        <v>-3</v>
      </c>
      <c r="AP119" s="78">
        <f t="shared" ref="AP119" si="884">AVERAGE(AO119:AO120)</f>
        <v>-3</v>
      </c>
      <c r="AQ119" s="114">
        <v>10</v>
      </c>
      <c r="AR119" s="63">
        <f t="shared" si="864"/>
        <v>-4</v>
      </c>
      <c r="AS119" s="59">
        <f t="shared" ref="AS119" si="885">AVERAGE(AR119:AR120)</f>
        <v>-4.5</v>
      </c>
      <c r="AT119" s="215">
        <v>0.52287874528033762</v>
      </c>
      <c r="AU119" s="59">
        <v>0.52287874528033762</v>
      </c>
      <c r="AV119" s="216">
        <v>-7.9181246047624804E-2</v>
      </c>
      <c r="AW119" s="217">
        <v>-7.9181246047624804E-2</v>
      </c>
      <c r="AX119" s="75">
        <f t="shared" si="866"/>
        <v>0</v>
      </c>
      <c r="AY119" s="59">
        <f t="shared" ref="AY119" si="886">AVERAGE(AX119:AX120)</f>
        <v>0</v>
      </c>
      <c r="AZ119" s="241">
        <v>-7.9181246047624804E-2</v>
      </c>
      <c r="BA119" s="71">
        <f t="shared" si="868"/>
        <v>0</v>
      </c>
      <c r="BB119" s="59">
        <f t="shared" ref="BB119" si="887">AVERAGE(BA119:BA120)</f>
        <v>3.9590623023812402E-2</v>
      </c>
      <c r="BC119" s="229">
        <v>-7.9181246047624804E-2</v>
      </c>
      <c r="BD119" s="91">
        <v>-7.9181246047624804E-2</v>
      </c>
      <c r="BE119" s="75">
        <f t="shared" si="870"/>
        <v>0</v>
      </c>
      <c r="BF119" s="59">
        <f t="shared" ref="BF119" si="888">AVERAGE(BE119:BE120)</f>
        <v>-3.9590623023812402E-2</v>
      </c>
      <c r="BG119" s="228">
        <v>-7.9181246047624804E-2</v>
      </c>
      <c r="BH119" s="75">
        <f t="shared" si="872"/>
        <v>0</v>
      </c>
      <c r="BI119" s="78">
        <f t="shared" ref="BI119" si="889">AVERAGE(BH119:BH120)</f>
        <v>-3.9590623023812402E-2</v>
      </c>
      <c r="BJ119" s="230">
        <v>100</v>
      </c>
      <c r="BK119" s="93"/>
    </row>
    <row r="120" spans="1:63" ht="15" customHeight="1">
      <c r="A120" s="224"/>
      <c r="B120" s="82"/>
      <c r="C120" s="245"/>
      <c r="D120" s="84"/>
      <c r="E120" s="107">
        <v>-2.5</v>
      </c>
      <c r="F120" s="59"/>
      <c r="G120" s="291"/>
      <c r="H120" s="135" t="s">
        <v>10</v>
      </c>
      <c r="I120" s="111">
        <v>25.15</v>
      </c>
      <c r="J120" s="73"/>
      <c r="K120" s="122">
        <v>25.2</v>
      </c>
      <c r="L120" s="58">
        <f t="shared" si="589"/>
        <v>5.0000000000000711E-2</v>
      </c>
      <c r="M120" s="59"/>
      <c r="N120" s="122">
        <v>25.42</v>
      </c>
      <c r="O120" s="60">
        <f t="shared" si="591"/>
        <v>0.22000000000000242</v>
      </c>
      <c r="P120" s="226"/>
      <c r="Q120" s="118">
        <v>25.62</v>
      </c>
      <c r="R120" s="227">
        <f t="shared" si="593"/>
        <v>0.42000000000000171</v>
      </c>
      <c r="S120" s="59"/>
      <c r="T120" s="118">
        <v>25.8</v>
      </c>
      <c r="U120" s="60">
        <f t="shared" si="853"/>
        <v>0.60000000000000142</v>
      </c>
      <c r="V120" s="56"/>
      <c r="W120" s="118">
        <v>25.96</v>
      </c>
      <c r="X120" s="61">
        <f t="shared" si="854"/>
        <v>0.76000000000000156</v>
      </c>
      <c r="Y120" s="59"/>
      <c r="Z120" s="61">
        <f t="shared" si="855"/>
        <v>0.33999999999999986</v>
      </c>
      <c r="AA120" s="59"/>
      <c r="AB120" s="111">
        <v>2801</v>
      </c>
      <c r="AC120" s="66"/>
      <c r="AD120" s="112">
        <v>3106</v>
      </c>
      <c r="AE120" s="112">
        <v>3135</v>
      </c>
      <c r="AF120" s="71">
        <f t="shared" si="858"/>
        <v>29</v>
      </c>
      <c r="AG120" s="66"/>
      <c r="AH120" s="112">
        <v>3108</v>
      </c>
      <c r="AI120" s="71">
        <f t="shared" si="860"/>
        <v>2</v>
      </c>
      <c r="AJ120" s="100"/>
      <c r="AK120" s="113">
        <v>14</v>
      </c>
      <c r="AL120" s="78"/>
      <c r="AM120" s="114">
        <v>15</v>
      </c>
      <c r="AN120" s="114">
        <v>12</v>
      </c>
      <c r="AO120" s="214">
        <f t="shared" si="862"/>
        <v>-3</v>
      </c>
      <c r="AP120" s="78"/>
      <c r="AQ120" s="114">
        <v>10</v>
      </c>
      <c r="AR120" s="63">
        <f t="shared" si="864"/>
        <v>-5</v>
      </c>
      <c r="AS120" s="59"/>
      <c r="AT120" s="235">
        <v>0.52287874528033762</v>
      </c>
      <c r="AU120" s="59"/>
      <c r="AV120" s="236">
        <v>-7.9181246047624804E-2</v>
      </c>
      <c r="AW120" s="237">
        <v>-7.9181246047624804E-2</v>
      </c>
      <c r="AX120" s="75">
        <f t="shared" si="866"/>
        <v>0</v>
      </c>
      <c r="AY120" s="59"/>
      <c r="AZ120" s="242">
        <v>0</v>
      </c>
      <c r="BA120" s="71">
        <f t="shared" si="868"/>
        <v>7.9181246047624804E-2</v>
      </c>
      <c r="BB120" s="59"/>
      <c r="BC120" s="229">
        <v>0</v>
      </c>
      <c r="BD120" s="91">
        <v>-7.9181246047624804E-2</v>
      </c>
      <c r="BE120" s="75">
        <f t="shared" si="870"/>
        <v>-7.9181246047624804E-2</v>
      </c>
      <c r="BF120" s="59"/>
      <c r="BG120" s="228">
        <v>-7.9181246047624804E-2</v>
      </c>
      <c r="BH120" s="75">
        <f t="shared" si="872"/>
        <v>-7.9181246047624804E-2</v>
      </c>
      <c r="BI120" s="78"/>
      <c r="BJ120" s="230"/>
      <c r="BK120" s="93"/>
    </row>
    <row r="121" spans="1:63" ht="15" customHeight="1">
      <c r="A121" s="247">
        <v>19</v>
      </c>
      <c r="B121" s="82" t="s">
        <v>29</v>
      </c>
      <c r="C121" s="243">
        <v>8.3698630136986303</v>
      </c>
      <c r="D121" s="97" t="s">
        <v>0</v>
      </c>
      <c r="E121" s="107">
        <v>-1.75</v>
      </c>
      <c r="F121" s="100">
        <f t="shared" ref="F121" si="890">AVERAGE(E121:E122)</f>
        <v>-1.5</v>
      </c>
      <c r="G121" s="290">
        <v>42161</v>
      </c>
      <c r="H121" s="135" t="s">
        <v>9</v>
      </c>
      <c r="I121" s="111">
        <v>24.23</v>
      </c>
      <c r="J121" s="205">
        <f t="shared" ref="J121" si="891">AVERAGE(I121:I122)</f>
        <v>24.240000000000002</v>
      </c>
      <c r="K121" s="118">
        <v>24.33</v>
      </c>
      <c r="L121" s="58">
        <f t="shared" si="589"/>
        <v>9.9999999999997868E-2</v>
      </c>
      <c r="M121" s="100">
        <f t="shared" ref="M121" si="892">AVERAGE(L121:L122)</f>
        <v>5.9999999999998721E-2</v>
      </c>
      <c r="N121" s="118">
        <v>24.57</v>
      </c>
      <c r="O121" s="60">
        <f t="shared" si="591"/>
        <v>0.24000000000000199</v>
      </c>
      <c r="P121" s="233">
        <f t="shared" ref="P121" si="893">AVERAGE(O121:O122)</f>
        <v>0.24000000000000199</v>
      </c>
      <c r="Q121" s="118">
        <v>24.76</v>
      </c>
      <c r="R121" s="248">
        <f t="shared" si="593"/>
        <v>0.43000000000000327</v>
      </c>
      <c r="S121" s="59">
        <f t="shared" ref="S121:S129" si="894">AVERAGE(R121:R122)</f>
        <v>0.4150000000000027</v>
      </c>
      <c r="T121" s="118">
        <v>24.95</v>
      </c>
      <c r="U121" s="60">
        <f t="shared" si="853"/>
        <v>0.62000000000000099</v>
      </c>
      <c r="V121" s="56">
        <f t="shared" si="595"/>
        <v>0.60500000000000043</v>
      </c>
      <c r="W121" s="118">
        <v>25</v>
      </c>
      <c r="X121" s="61">
        <f t="shared" si="854"/>
        <v>0.67000000000000171</v>
      </c>
      <c r="Y121" s="59">
        <f t="shared" ref="Y121" si="895">AVERAGE(X121:X122)</f>
        <v>0.67500000000000071</v>
      </c>
      <c r="Z121" s="61">
        <f t="shared" si="855"/>
        <v>0.23999999999999844</v>
      </c>
      <c r="AA121" s="59">
        <f t="shared" ref="AA121" si="896">AVERAGE(Z121:Z122)</f>
        <v>0.25999999999999801</v>
      </c>
      <c r="AB121" s="111">
        <v>2994</v>
      </c>
      <c r="AC121" s="99">
        <f t="shared" ref="AC121" si="897">AVERAGE(AB121:AB122)</f>
        <v>3089.5</v>
      </c>
      <c r="AD121" s="112">
        <v>3125</v>
      </c>
      <c r="AE121" s="112">
        <v>3064</v>
      </c>
      <c r="AF121" s="71">
        <f t="shared" si="858"/>
        <v>-61</v>
      </c>
      <c r="AG121" s="99">
        <f t="shared" ref="AG121" si="898">AVERAGE(AF121:AF122)</f>
        <v>-79</v>
      </c>
      <c r="AH121" s="112">
        <v>2998</v>
      </c>
      <c r="AI121" s="71">
        <f t="shared" si="860"/>
        <v>-127</v>
      </c>
      <c r="AJ121" s="98">
        <f t="shared" ref="AJ121" si="899">AVERAGE(AI121:AI122)</f>
        <v>-70</v>
      </c>
      <c r="AK121" s="113">
        <v>12</v>
      </c>
      <c r="AL121" s="78">
        <f t="shared" si="746"/>
        <v>12.5</v>
      </c>
      <c r="AM121" s="114">
        <v>12</v>
      </c>
      <c r="AN121" s="114">
        <v>10</v>
      </c>
      <c r="AO121" s="214">
        <f t="shared" si="862"/>
        <v>-2</v>
      </c>
      <c r="AP121" s="78">
        <f t="shared" ref="AP121" si="900">AVERAGE(AO121:AO122)</f>
        <v>-3.5</v>
      </c>
      <c r="AQ121" s="114">
        <v>10</v>
      </c>
      <c r="AR121" s="63">
        <f t="shared" si="864"/>
        <v>-2</v>
      </c>
      <c r="AS121" s="59">
        <f t="shared" ref="AS121" si="901">AVERAGE(AR121:AR122)</f>
        <v>-1.5</v>
      </c>
      <c r="AT121" s="215">
        <v>0.69897000433601886</v>
      </c>
      <c r="AU121" s="59">
        <v>0.76143937264016881</v>
      </c>
      <c r="AV121" s="216">
        <v>-7.9181246047624804E-2</v>
      </c>
      <c r="AW121" s="217">
        <v>-7.9181246047624804E-2</v>
      </c>
      <c r="AX121" s="75">
        <f t="shared" si="866"/>
        <v>0</v>
      </c>
      <c r="AY121" s="59">
        <f t="shared" ref="AY121" si="902">AVERAGE(AX121:AX122)</f>
        <v>3.9590623023812402E-2</v>
      </c>
      <c r="AZ121" s="241">
        <v>-7.9181246047624804E-2</v>
      </c>
      <c r="BA121" s="71">
        <f t="shared" si="868"/>
        <v>0</v>
      </c>
      <c r="BB121" s="59">
        <f t="shared" ref="BB121" si="903">AVERAGE(BA121:BA122)</f>
        <v>3.9590623023812402E-2</v>
      </c>
      <c r="BC121" s="229">
        <v>-7.9181246047624804E-2</v>
      </c>
      <c r="BD121" s="91">
        <v>-7.9181246047624804E-2</v>
      </c>
      <c r="BE121" s="75">
        <f t="shared" si="870"/>
        <v>0</v>
      </c>
      <c r="BF121" s="59">
        <f t="shared" ref="BF121" si="904">AVERAGE(BE121:BE122)</f>
        <v>0</v>
      </c>
      <c r="BG121" s="228">
        <v>-7.9181246047624804E-2</v>
      </c>
      <c r="BH121" s="75">
        <f t="shared" si="872"/>
        <v>0</v>
      </c>
      <c r="BI121" s="78">
        <f t="shared" ref="BI121" si="905">AVERAGE(BH121:BH122)</f>
        <v>3.9590623023812402E-2</v>
      </c>
      <c r="BJ121" s="230">
        <v>100</v>
      </c>
      <c r="BK121" s="93"/>
    </row>
    <row r="122" spans="1:63" ht="15" customHeight="1">
      <c r="A122" s="81"/>
      <c r="B122" s="82"/>
      <c r="C122" s="245"/>
      <c r="D122" s="84"/>
      <c r="E122" s="107">
        <v>-1.25</v>
      </c>
      <c r="F122" s="59"/>
      <c r="G122" s="291"/>
      <c r="H122" s="135" t="s">
        <v>10</v>
      </c>
      <c r="I122" s="111">
        <v>24.25</v>
      </c>
      <c r="J122" s="73"/>
      <c r="K122" s="118">
        <v>24.27</v>
      </c>
      <c r="L122" s="58">
        <f t="shared" si="589"/>
        <v>1.9999999999999574E-2</v>
      </c>
      <c r="M122" s="59"/>
      <c r="N122" s="118">
        <v>24.51</v>
      </c>
      <c r="O122" s="60">
        <f t="shared" si="591"/>
        <v>0.24000000000000199</v>
      </c>
      <c r="P122" s="226"/>
      <c r="Q122" s="118">
        <v>24.67</v>
      </c>
      <c r="R122" s="248">
        <f t="shared" si="593"/>
        <v>0.40000000000000213</v>
      </c>
      <c r="S122" s="59"/>
      <c r="T122" s="118">
        <v>24.86</v>
      </c>
      <c r="U122" s="60">
        <f t="shared" si="853"/>
        <v>0.58999999999999986</v>
      </c>
      <c r="V122" s="56"/>
      <c r="W122" s="118">
        <v>24.95</v>
      </c>
      <c r="X122" s="61">
        <f t="shared" si="854"/>
        <v>0.67999999999999972</v>
      </c>
      <c r="Y122" s="59"/>
      <c r="Z122" s="61">
        <f t="shared" si="855"/>
        <v>0.27999999999999758</v>
      </c>
      <c r="AA122" s="59"/>
      <c r="AB122" s="111">
        <v>3185</v>
      </c>
      <c r="AC122" s="66"/>
      <c r="AD122" s="112">
        <v>3096</v>
      </c>
      <c r="AE122" s="112">
        <v>2999</v>
      </c>
      <c r="AF122" s="71">
        <f t="shared" si="858"/>
        <v>-97</v>
      </c>
      <c r="AG122" s="66"/>
      <c r="AH122" s="112">
        <v>3083</v>
      </c>
      <c r="AI122" s="71">
        <f t="shared" si="860"/>
        <v>-13</v>
      </c>
      <c r="AJ122" s="100"/>
      <c r="AK122" s="113">
        <v>13</v>
      </c>
      <c r="AL122" s="78"/>
      <c r="AM122" s="114">
        <v>12</v>
      </c>
      <c r="AN122" s="114">
        <v>7</v>
      </c>
      <c r="AO122" s="214">
        <f t="shared" si="862"/>
        <v>-5</v>
      </c>
      <c r="AP122" s="78"/>
      <c r="AQ122" s="114">
        <v>11</v>
      </c>
      <c r="AR122" s="63">
        <f t="shared" si="864"/>
        <v>-1</v>
      </c>
      <c r="AS122" s="59"/>
      <c r="AT122" s="235">
        <v>0.82390874094431876</v>
      </c>
      <c r="AU122" s="59"/>
      <c r="AV122" s="236">
        <v>-7.9181246047624804E-2</v>
      </c>
      <c r="AW122" s="237">
        <v>0</v>
      </c>
      <c r="AX122" s="75">
        <f t="shared" si="866"/>
        <v>7.9181246047624804E-2</v>
      </c>
      <c r="AY122" s="59"/>
      <c r="AZ122" s="242">
        <v>0</v>
      </c>
      <c r="BA122" s="71">
        <f t="shared" si="868"/>
        <v>7.9181246047624804E-2</v>
      </c>
      <c r="BB122" s="59"/>
      <c r="BC122" s="229">
        <v>-7.9181246047624804E-2</v>
      </c>
      <c r="BD122" s="91">
        <v>-7.9181246047624804E-2</v>
      </c>
      <c r="BE122" s="75">
        <f t="shared" si="870"/>
        <v>0</v>
      </c>
      <c r="BF122" s="59"/>
      <c r="BG122" s="228">
        <v>0</v>
      </c>
      <c r="BH122" s="75">
        <f t="shared" si="872"/>
        <v>7.9181246047624804E-2</v>
      </c>
      <c r="BI122" s="78"/>
      <c r="BJ122" s="230"/>
      <c r="BK122" s="93"/>
    </row>
    <row r="123" spans="1:63" ht="15" customHeight="1">
      <c r="A123" s="247">
        <v>20</v>
      </c>
      <c r="B123" s="82" t="s">
        <v>29</v>
      </c>
      <c r="C123" s="243">
        <v>8.882191780821918</v>
      </c>
      <c r="D123" s="97" t="s">
        <v>3</v>
      </c>
      <c r="E123" s="107">
        <v>-3.75</v>
      </c>
      <c r="F123" s="100">
        <f>AVERAGE(E123:E124)</f>
        <v>-3.75</v>
      </c>
      <c r="G123" s="290">
        <v>42317</v>
      </c>
      <c r="H123" s="135" t="s">
        <v>9</v>
      </c>
      <c r="I123" s="111">
        <v>24.33</v>
      </c>
      <c r="J123" s="205">
        <f t="shared" ref="J123:J125" si="906">AVERAGE(I123:I124)</f>
        <v>24.405000000000001</v>
      </c>
      <c r="K123" s="118">
        <v>24.23</v>
      </c>
      <c r="L123" s="58">
        <f t="shared" si="589"/>
        <v>-9.9999999999997868E-2</v>
      </c>
      <c r="M123" s="100">
        <f t="shared" ref="M123" si="907">AVERAGE(L123:L124)</f>
        <v>4.5000000000001705E-2</v>
      </c>
      <c r="N123" s="118">
        <v>24.32</v>
      </c>
      <c r="O123" s="60">
        <f t="shared" si="591"/>
        <v>8.9999999999999858E-2</v>
      </c>
      <c r="P123" s="233">
        <f t="shared" ref="P123" si="908">AVERAGE(O123:O124)</f>
        <v>0.12499999999999822</v>
      </c>
      <c r="Q123" s="118">
        <v>24.45</v>
      </c>
      <c r="R123" s="248">
        <f t="shared" si="593"/>
        <v>0.21999999999999886</v>
      </c>
      <c r="S123" s="98">
        <f t="shared" ref="S123" si="909">AVERAGE(R123:R124)</f>
        <v>0.2699999999999978</v>
      </c>
      <c r="T123" s="118">
        <v>24.5</v>
      </c>
      <c r="U123" s="60">
        <f t="shared" si="853"/>
        <v>0.26999999999999957</v>
      </c>
      <c r="V123" s="56">
        <f t="shared" ref="V123" si="910">AVERAGE(U123:U124)</f>
        <v>0.37999999999999901</v>
      </c>
      <c r="W123" s="118">
        <v>24.65</v>
      </c>
      <c r="X123" s="61">
        <f t="shared" si="854"/>
        <v>0.41999999999999815</v>
      </c>
      <c r="Y123" s="59">
        <f t="shared" ref="Y123" si="911">AVERAGE(X123:X124)</f>
        <v>0.51499999999999879</v>
      </c>
      <c r="Z123" s="61">
        <f t="shared" si="855"/>
        <v>0.19999999999999929</v>
      </c>
      <c r="AA123" s="59">
        <f t="shared" ref="AA123" si="912">AVERAGE(Z123:Z124)</f>
        <v>0.24500000000000099</v>
      </c>
      <c r="AB123" s="111">
        <v>2907</v>
      </c>
      <c r="AC123" s="99">
        <f t="shared" ref="AC123" si="913">AVERAGE(AB123:AB124)</f>
        <v>2882</v>
      </c>
      <c r="AD123" s="112">
        <v>2821</v>
      </c>
      <c r="AE123" s="112">
        <v>2897</v>
      </c>
      <c r="AF123" s="71">
        <f t="shared" si="858"/>
        <v>76</v>
      </c>
      <c r="AG123" s="99">
        <f t="shared" ref="AG123" si="914">AVERAGE(AF123:AF124)</f>
        <v>238.5</v>
      </c>
      <c r="AH123" s="112">
        <v>2765</v>
      </c>
      <c r="AI123" s="71">
        <f t="shared" si="860"/>
        <v>-56</v>
      </c>
      <c r="AJ123" s="98">
        <f t="shared" ref="AJ123" si="915">AVERAGE(AI123:AI124)</f>
        <v>96</v>
      </c>
      <c r="AK123" s="113">
        <v>15</v>
      </c>
      <c r="AL123" s="78">
        <f t="shared" si="746"/>
        <v>15</v>
      </c>
      <c r="AM123" s="114">
        <v>16</v>
      </c>
      <c r="AN123" s="114">
        <v>17</v>
      </c>
      <c r="AO123" s="214">
        <f t="shared" si="862"/>
        <v>1</v>
      </c>
      <c r="AP123" s="78">
        <f t="shared" ref="AP123" si="916">AVERAGE(AO123:AO124)</f>
        <v>-1</v>
      </c>
      <c r="AQ123" s="114">
        <v>17</v>
      </c>
      <c r="AR123" s="63">
        <f t="shared" si="864"/>
        <v>1</v>
      </c>
      <c r="AS123" s="59">
        <f t="shared" ref="AS123" si="917">AVERAGE(AR123:AR124)</f>
        <v>1</v>
      </c>
      <c r="AT123" s="215">
        <v>1</v>
      </c>
      <c r="AU123" s="59">
        <v>1</v>
      </c>
      <c r="AV123" s="216">
        <v>0</v>
      </c>
      <c r="AW123" s="217">
        <v>0</v>
      </c>
      <c r="AX123" s="75">
        <f t="shared" si="866"/>
        <v>0</v>
      </c>
      <c r="AY123" s="59">
        <f t="shared" ref="AY123" si="918">AVERAGE(AX123:AX124)</f>
        <v>2.2878745280337572E-2</v>
      </c>
      <c r="AZ123" s="241">
        <v>4.5757490560675143E-2</v>
      </c>
      <c r="BA123" s="71">
        <f t="shared" si="868"/>
        <v>4.5757490560675143E-2</v>
      </c>
      <c r="BB123" s="59">
        <f t="shared" ref="BB123" si="919">AVERAGE(BA123:BA124)</f>
        <v>7.1333751784365781E-2</v>
      </c>
      <c r="BC123" s="229">
        <v>-7.9181246047624804E-2</v>
      </c>
      <c r="BD123" s="91">
        <v>4.5757490560675143E-2</v>
      </c>
      <c r="BE123" s="75">
        <f t="shared" si="870"/>
        <v>0.12493873660829995</v>
      </c>
      <c r="BF123" s="59">
        <f t="shared" ref="BF123" si="920">AVERAGE(BE123:BE124)</f>
        <v>0.1505149978319906</v>
      </c>
      <c r="BG123" s="228">
        <v>-7.9181246047624804E-2</v>
      </c>
      <c r="BH123" s="75">
        <f t="shared" si="872"/>
        <v>0</v>
      </c>
      <c r="BI123" s="78">
        <f t="shared" ref="BI123" si="921">AVERAGE(BH123:BH124)</f>
        <v>3.9590623023812402E-2</v>
      </c>
      <c r="BJ123" s="230">
        <v>100</v>
      </c>
      <c r="BK123" s="93"/>
    </row>
    <row r="124" spans="1:63" ht="15" customHeight="1">
      <c r="A124" s="81"/>
      <c r="B124" s="82"/>
      <c r="C124" s="245"/>
      <c r="D124" s="84"/>
      <c r="E124" s="107">
        <v>-3.75</v>
      </c>
      <c r="F124" s="59"/>
      <c r="G124" s="291"/>
      <c r="H124" s="135" t="s">
        <v>10</v>
      </c>
      <c r="I124" s="111">
        <v>24.48</v>
      </c>
      <c r="J124" s="73"/>
      <c r="K124" s="118">
        <v>24.67</v>
      </c>
      <c r="L124" s="58">
        <f t="shared" si="589"/>
        <v>0.19000000000000128</v>
      </c>
      <c r="M124" s="59"/>
      <c r="N124" s="118">
        <v>24.83</v>
      </c>
      <c r="O124" s="60">
        <f t="shared" si="591"/>
        <v>0.15999999999999659</v>
      </c>
      <c r="P124" s="226"/>
      <c r="Q124" s="118">
        <v>24.99</v>
      </c>
      <c r="R124" s="248">
        <f t="shared" si="593"/>
        <v>0.31999999999999673</v>
      </c>
      <c r="S124" s="100"/>
      <c r="T124" s="118">
        <v>25.16</v>
      </c>
      <c r="U124" s="60">
        <f t="shared" si="853"/>
        <v>0.48999999999999844</v>
      </c>
      <c r="V124" s="56"/>
      <c r="W124" s="118">
        <v>25.28</v>
      </c>
      <c r="X124" s="61">
        <f t="shared" si="854"/>
        <v>0.60999999999999943</v>
      </c>
      <c r="Y124" s="59"/>
      <c r="Z124" s="61">
        <f t="shared" si="855"/>
        <v>0.2900000000000027</v>
      </c>
      <c r="AA124" s="59"/>
      <c r="AB124" s="111">
        <v>2857</v>
      </c>
      <c r="AC124" s="66"/>
      <c r="AD124" s="112">
        <v>2585</v>
      </c>
      <c r="AE124" s="112">
        <v>2986</v>
      </c>
      <c r="AF124" s="71">
        <f t="shared" si="858"/>
        <v>401</v>
      </c>
      <c r="AG124" s="66"/>
      <c r="AH124" s="112">
        <v>2833</v>
      </c>
      <c r="AI124" s="71">
        <f t="shared" si="860"/>
        <v>248</v>
      </c>
      <c r="AJ124" s="100"/>
      <c r="AK124" s="113">
        <v>15</v>
      </c>
      <c r="AL124" s="78"/>
      <c r="AM124" s="114">
        <v>20</v>
      </c>
      <c r="AN124" s="114">
        <v>17</v>
      </c>
      <c r="AO124" s="214">
        <f t="shared" si="862"/>
        <v>-3</v>
      </c>
      <c r="AP124" s="78"/>
      <c r="AQ124" s="114">
        <v>21</v>
      </c>
      <c r="AR124" s="63">
        <f t="shared" si="864"/>
        <v>1</v>
      </c>
      <c r="AS124" s="59"/>
      <c r="AT124" s="235">
        <v>1</v>
      </c>
      <c r="AU124" s="59"/>
      <c r="AV124" s="236">
        <v>0</v>
      </c>
      <c r="AW124" s="237">
        <v>4.5757490560675143E-2</v>
      </c>
      <c r="AX124" s="75">
        <f t="shared" si="866"/>
        <v>4.5757490560675143E-2</v>
      </c>
      <c r="AY124" s="59"/>
      <c r="AZ124" s="242">
        <v>9.691001300805642E-2</v>
      </c>
      <c r="BA124" s="71">
        <f t="shared" si="868"/>
        <v>9.691001300805642E-2</v>
      </c>
      <c r="BB124" s="59"/>
      <c r="BC124" s="229">
        <v>-7.9181246047624804E-2</v>
      </c>
      <c r="BD124" s="91">
        <v>9.691001300805642E-2</v>
      </c>
      <c r="BE124" s="75">
        <f t="shared" si="870"/>
        <v>0.17609125905568124</v>
      </c>
      <c r="BF124" s="59"/>
      <c r="BG124" s="228">
        <v>0</v>
      </c>
      <c r="BH124" s="75">
        <f t="shared" si="872"/>
        <v>7.9181246047624804E-2</v>
      </c>
      <c r="BI124" s="78"/>
      <c r="BJ124" s="230"/>
      <c r="BK124" s="93"/>
    </row>
    <row r="125" spans="1:63" ht="15" customHeight="1">
      <c r="A125" s="247">
        <v>21</v>
      </c>
      <c r="B125" s="82" t="s">
        <v>29</v>
      </c>
      <c r="C125" s="243">
        <v>9.5945205479452049</v>
      </c>
      <c r="D125" s="97" t="s">
        <v>0</v>
      </c>
      <c r="E125" s="107">
        <v>-2.25</v>
      </c>
      <c r="F125" s="100">
        <f>AVERAGE(E125:E126)</f>
        <v>-2.25</v>
      </c>
      <c r="G125" s="281">
        <v>42391</v>
      </c>
      <c r="H125" s="135" t="s">
        <v>9</v>
      </c>
      <c r="I125" s="111">
        <v>24.63</v>
      </c>
      <c r="J125" s="205">
        <f t="shared" si="906"/>
        <v>24.7</v>
      </c>
      <c r="K125" s="118">
        <v>24.74</v>
      </c>
      <c r="L125" s="58">
        <f t="shared" si="589"/>
        <v>0.10999999999999943</v>
      </c>
      <c r="M125" s="100">
        <f t="shared" ref="M125" si="922">AVERAGE(L125:L126)</f>
        <v>0.13000000000000078</v>
      </c>
      <c r="N125" s="118">
        <v>24.91</v>
      </c>
      <c r="O125" s="60">
        <f t="shared" si="591"/>
        <v>0.17000000000000171</v>
      </c>
      <c r="P125" s="233">
        <f t="shared" ref="P125" si="923">AVERAGE(O125:O126)</f>
        <v>0.16999999999999993</v>
      </c>
      <c r="Q125" s="118">
        <v>25.03</v>
      </c>
      <c r="R125" s="248">
        <f t="shared" si="593"/>
        <v>0.2900000000000027</v>
      </c>
      <c r="S125" s="98">
        <f t="shared" ref="S125" si="924">AVERAGE(R125:R126)</f>
        <v>0.29000000000000092</v>
      </c>
      <c r="T125" s="110">
        <v>25.22</v>
      </c>
      <c r="U125" s="60">
        <f t="shared" si="853"/>
        <v>0.48000000000000043</v>
      </c>
      <c r="V125" s="56">
        <f t="shared" ref="V125" si="925">AVERAGE(U125:U126)</f>
        <v>0.45500000000000007</v>
      </c>
      <c r="W125" s="110">
        <v>25.42</v>
      </c>
      <c r="X125" s="61">
        <f t="shared" si="854"/>
        <v>0.68000000000000327</v>
      </c>
      <c r="Y125" s="59">
        <f t="shared" ref="Y125" si="926">AVERAGE(X125:X126)</f>
        <v>0.63500000000000156</v>
      </c>
      <c r="Z125" s="61">
        <f t="shared" si="855"/>
        <v>0.39000000000000057</v>
      </c>
      <c r="AA125" s="59">
        <f t="shared" ref="AA125" si="927">AVERAGE(Z125:Z126)</f>
        <v>0.34500000000000064</v>
      </c>
      <c r="AB125" s="111">
        <v>3040</v>
      </c>
      <c r="AC125" s="99">
        <f t="shared" ref="AC125" si="928">AVERAGE(AB125:AB126)</f>
        <v>3116</v>
      </c>
      <c r="AD125" s="112">
        <v>2827</v>
      </c>
      <c r="AE125" s="112">
        <v>3104</v>
      </c>
      <c r="AF125" s="71">
        <f t="shared" si="858"/>
        <v>277</v>
      </c>
      <c r="AG125" s="99">
        <f t="shared" ref="AG125" si="929">AVERAGE(AF125:AF126)</f>
        <v>202.5</v>
      </c>
      <c r="AH125" s="112">
        <v>2875</v>
      </c>
      <c r="AI125" s="71">
        <f t="shared" si="860"/>
        <v>48</v>
      </c>
      <c r="AJ125" s="98">
        <f t="shared" ref="AJ125" si="930">AVERAGE(AI125:AI126)</f>
        <v>-155.5</v>
      </c>
      <c r="AK125" s="113">
        <v>12</v>
      </c>
      <c r="AL125" s="78">
        <f t="shared" si="746"/>
        <v>12</v>
      </c>
      <c r="AM125" s="114">
        <v>11</v>
      </c>
      <c r="AN125" s="114">
        <v>12</v>
      </c>
      <c r="AO125" s="214">
        <f t="shared" si="862"/>
        <v>1</v>
      </c>
      <c r="AP125" s="78">
        <f t="shared" ref="AP125" si="931">AVERAGE(AO125:AO126)</f>
        <v>0.5</v>
      </c>
      <c r="AQ125" s="114">
        <v>10</v>
      </c>
      <c r="AR125" s="63">
        <f t="shared" si="864"/>
        <v>-1</v>
      </c>
      <c r="AS125" s="59">
        <f t="shared" ref="AS125" si="932">AVERAGE(AR125:AR126)</f>
        <v>-0.5</v>
      </c>
      <c r="AT125" s="215">
        <v>0.69897000433601886</v>
      </c>
      <c r="AU125" s="59">
        <v>0.5</v>
      </c>
      <c r="AV125" s="216">
        <v>-7.9181246047624804E-2</v>
      </c>
      <c r="AW125" s="217">
        <v>-7.9181246047624804E-2</v>
      </c>
      <c r="AX125" s="75">
        <f t="shared" si="866"/>
        <v>0</v>
      </c>
      <c r="AY125" s="59">
        <f t="shared" ref="AY125" si="933">AVERAGE(AX125:AX126)</f>
        <v>0</v>
      </c>
      <c r="AZ125" s="241">
        <v>4.5757490560675143E-2</v>
      </c>
      <c r="BA125" s="71">
        <f t="shared" si="868"/>
        <v>0.12493873660829995</v>
      </c>
      <c r="BB125" s="59">
        <f t="shared" ref="BB125" si="934">AVERAGE(BA125:BA126)</f>
        <v>6.2469368304149973E-2</v>
      </c>
      <c r="BC125" s="229">
        <v>-7.9181246047624804E-2</v>
      </c>
      <c r="BD125" s="91">
        <v>-7.9181246047624804E-2</v>
      </c>
      <c r="BE125" s="75">
        <f t="shared" si="870"/>
        <v>0</v>
      </c>
      <c r="BF125" s="59">
        <f t="shared" ref="BF125" si="935">AVERAGE(BE125:BE126)</f>
        <v>0</v>
      </c>
      <c r="BG125" s="228">
        <v>-7.9181246047624804E-2</v>
      </c>
      <c r="BH125" s="75">
        <f t="shared" si="872"/>
        <v>0</v>
      </c>
      <c r="BI125" s="78">
        <f t="shared" ref="BI125" si="936">AVERAGE(BH125:BH126)</f>
        <v>0</v>
      </c>
      <c r="BJ125" s="230">
        <v>87</v>
      </c>
      <c r="BK125" s="93"/>
    </row>
    <row r="126" spans="1:63" ht="15" customHeight="1">
      <c r="A126" s="81"/>
      <c r="B126" s="82"/>
      <c r="C126" s="245"/>
      <c r="D126" s="84"/>
      <c r="E126" s="107">
        <v>-2.25</v>
      </c>
      <c r="F126" s="59"/>
      <c r="G126" s="282"/>
      <c r="H126" s="135" t="s">
        <v>10</v>
      </c>
      <c r="I126" s="111">
        <v>24.77</v>
      </c>
      <c r="J126" s="73"/>
      <c r="K126" s="118">
        <v>24.92</v>
      </c>
      <c r="L126" s="58">
        <f t="shared" si="589"/>
        <v>0.15000000000000213</v>
      </c>
      <c r="M126" s="59"/>
      <c r="N126" s="118">
        <v>25.09</v>
      </c>
      <c r="O126" s="60">
        <f t="shared" si="591"/>
        <v>0.16999999999999815</v>
      </c>
      <c r="P126" s="226"/>
      <c r="Q126" s="118">
        <v>25.21</v>
      </c>
      <c r="R126" s="248">
        <f t="shared" si="593"/>
        <v>0.28999999999999915</v>
      </c>
      <c r="S126" s="100"/>
      <c r="T126" s="110">
        <v>25.35</v>
      </c>
      <c r="U126" s="60">
        <f t="shared" si="853"/>
        <v>0.42999999999999972</v>
      </c>
      <c r="V126" s="56"/>
      <c r="W126" s="110">
        <v>25.51</v>
      </c>
      <c r="X126" s="61">
        <f t="shared" si="854"/>
        <v>0.58999999999999986</v>
      </c>
      <c r="Y126" s="59"/>
      <c r="Z126" s="61">
        <f t="shared" si="855"/>
        <v>0.30000000000000071</v>
      </c>
      <c r="AA126" s="59"/>
      <c r="AB126" s="111">
        <v>3192</v>
      </c>
      <c r="AC126" s="66"/>
      <c r="AD126" s="112">
        <v>3207</v>
      </c>
      <c r="AE126" s="112">
        <v>3335</v>
      </c>
      <c r="AF126" s="71">
        <f t="shared" si="858"/>
        <v>128</v>
      </c>
      <c r="AG126" s="66"/>
      <c r="AH126" s="112">
        <v>2848</v>
      </c>
      <c r="AI126" s="71">
        <f t="shared" si="860"/>
        <v>-359</v>
      </c>
      <c r="AJ126" s="100"/>
      <c r="AK126" s="113">
        <v>12</v>
      </c>
      <c r="AL126" s="78"/>
      <c r="AM126" s="114">
        <v>12</v>
      </c>
      <c r="AN126" s="114">
        <v>12</v>
      </c>
      <c r="AO126" s="214">
        <f t="shared" si="862"/>
        <v>0</v>
      </c>
      <c r="AP126" s="78"/>
      <c r="AQ126" s="114">
        <v>12</v>
      </c>
      <c r="AR126" s="63">
        <f t="shared" si="864"/>
        <v>0</v>
      </c>
      <c r="AS126" s="59"/>
      <c r="AT126" s="235">
        <v>0.3010299956639812</v>
      </c>
      <c r="AU126" s="59"/>
      <c r="AV126" s="236">
        <v>-7.9181246047624804E-2</v>
      </c>
      <c r="AW126" s="237">
        <v>-7.9181246047624804E-2</v>
      </c>
      <c r="AX126" s="75">
        <f t="shared" si="866"/>
        <v>0</v>
      </c>
      <c r="AY126" s="59"/>
      <c r="AZ126" s="242">
        <v>-7.9181246047624804E-2</v>
      </c>
      <c r="BA126" s="71">
        <f t="shared" si="868"/>
        <v>0</v>
      </c>
      <c r="BB126" s="59"/>
      <c r="BC126" s="229">
        <v>-7.9181246047624804E-2</v>
      </c>
      <c r="BD126" s="91">
        <v>-7.9181246047624804E-2</v>
      </c>
      <c r="BE126" s="75">
        <f t="shared" si="870"/>
        <v>0</v>
      </c>
      <c r="BF126" s="59"/>
      <c r="BG126" s="228">
        <v>-7.9181246047624804E-2</v>
      </c>
      <c r="BH126" s="75">
        <f t="shared" si="872"/>
        <v>0</v>
      </c>
      <c r="BI126" s="78"/>
      <c r="BJ126" s="230"/>
      <c r="BK126" s="93"/>
    </row>
    <row r="127" spans="1:63" ht="15" customHeight="1">
      <c r="A127" s="247">
        <v>22</v>
      </c>
      <c r="B127" s="82" t="s">
        <v>28</v>
      </c>
      <c r="C127" s="249">
        <v>12.835616438356164</v>
      </c>
      <c r="D127" s="97" t="s">
        <v>1</v>
      </c>
      <c r="E127" s="250">
        <v>-2.5</v>
      </c>
      <c r="F127" s="100">
        <f t="shared" ref="F127" si="937">AVERAGE(E127:E128)</f>
        <v>-2.625</v>
      </c>
      <c r="G127" s="292">
        <v>42160</v>
      </c>
      <c r="H127" s="54" t="s">
        <v>9</v>
      </c>
      <c r="I127" s="225">
        <v>25.68</v>
      </c>
      <c r="J127" s="205">
        <f t="shared" ref="J127" si="938">AVERAGE(I127:I128)</f>
        <v>25.715</v>
      </c>
      <c r="K127" s="86">
        <v>25.62</v>
      </c>
      <c r="L127" s="58">
        <f t="shared" si="589"/>
        <v>-5.9999999999998721E-2</v>
      </c>
      <c r="M127" s="100">
        <f t="shared" ref="M127" si="939">AVERAGE(L127:L128)</f>
        <v>-5.9999999999998721E-2</v>
      </c>
      <c r="N127" s="86">
        <v>25.71</v>
      </c>
      <c r="O127" s="60">
        <f t="shared" si="591"/>
        <v>8.9999999999999858E-2</v>
      </c>
      <c r="P127" s="233">
        <f t="shared" ref="P127" si="940">AVERAGE(O127:O128)</f>
        <v>0.10499999999999865</v>
      </c>
      <c r="Q127" s="86">
        <v>25.71</v>
      </c>
      <c r="R127" s="227">
        <f t="shared" si="593"/>
        <v>8.9999999999999858E-2</v>
      </c>
      <c r="S127" s="59">
        <f t="shared" si="894"/>
        <v>0.10499999999999865</v>
      </c>
      <c r="T127" s="104">
        <v>25.79</v>
      </c>
      <c r="U127" s="60">
        <f t="shared" si="853"/>
        <v>0.16999999999999815</v>
      </c>
      <c r="V127" s="56">
        <f t="shared" si="595"/>
        <v>0.19499999999999851</v>
      </c>
      <c r="W127" s="104">
        <v>25.85</v>
      </c>
      <c r="X127" s="61">
        <f t="shared" si="854"/>
        <v>0.23000000000000043</v>
      </c>
      <c r="Y127" s="59">
        <f t="shared" ref="Y127:Y135" si="941">AVERAGE(X127:X128)</f>
        <v>0.25499999999999901</v>
      </c>
      <c r="Z127" s="61">
        <f t="shared" si="855"/>
        <v>0.14000000000000057</v>
      </c>
      <c r="AA127" s="59">
        <f t="shared" ref="AA127" si="942">AVERAGE(Z127:Z128)</f>
        <v>0.15000000000000036</v>
      </c>
      <c r="AB127" s="71">
        <v>3891</v>
      </c>
      <c r="AC127" s="99">
        <f t="shared" ref="AC127" si="943">AVERAGE(AB127:AB128)</f>
        <v>3777</v>
      </c>
      <c r="AD127" s="87">
        <v>3597</v>
      </c>
      <c r="AE127" s="87">
        <v>3623</v>
      </c>
      <c r="AF127" s="71">
        <f t="shared" si="858"/>
        <v>26</v>
      </c>
      <c r="AG127" s="99">
        <f t="shared" ref="AG127" si="944">AVERAGE(AF127:AF128)</f>
        <v>-9.5</v>
      </c>
      <c r="AH127" s="87">
        <v>3424</v>
      </c>
      <c r="AI127" s="71">
        <f t="shared" si="860"/>
        <v>-173</v>
      </c>
      <c r="AJ127" s="98">
        <f t="shared" ref="AJ127" si="945">AVERAGE(AI127:AI128)</f>
        <v>-109</v>
      </c>
      <c r="AK127" s="88">
        <v>17.5</v>
      </c>
      <c r="AL127" s="78">
        <f t="shared" si="746"/>
        <v>17.75</v>
      </c>
      <c r="AM127" s="89">
        <v>17</v>
      </c>
      <c r="AN127" s="89">
        <v>16</v>
      </c>
      <c r="AO127" s="214">
        <f t="shared" si="862"/>
        <v>-1</v>
      </c>
      <c r="AP127" s="78">
        <f t="shared" ref="AP127" si="946">AVERAGE(AO127:AO128)</f>
        <v>-0.84999999999999964</v>
      </c>
      <c r="AQ127" s="89">
        <v>16</v>
      </c>
      <c r="AR127" s="63">
        <f t="shared" si="864"/>
        <v>-1</v>
      </c>
      <c r="AS127" s="59">
        <f t="shared" ref="AS127" si="947">AVERAGE(AR127:AR128)</f>
        <v>-0.59999999999999964</v>
      </c>
      <c r="AT127" s="215">
        <v>1</v>
      </c>
      <c r="AU127" s="59">
        <v>1</v>
      </c>
      <c r="AV127" s="216">
        <v>-7.9181246047624804E-2</v>
      </c>
      <c r="AW127" s="217">
        <v>-7.9181246047624804E-2</v>
      </c>
      <c r="AX127" s="75">
        <f t="shared" si="866"/>
        <v>0</v>
      </c>
      <c r="AY127" s="59">
        <f t="shared" ref="AY127" si="948">AVERAGE(AX127:AX128)</f>
        <v>-2.2878745280337572E-2</v>
      </c>
      <c r="AZ127" s="241">
        <v>4.5757490560675143E-2</v>
      </c>
      <c r="BA127" s="71">
        <f t="shared" si="868"/>
        <v>0.12493873660829995</v>
      </c>
      <c r="BB127" s="59">
        <f t="shared" ref="BB127" si="949">AVERAGE(BA127:BA128)</f>
        <v>6.2469368304149973E-2</v>
      </c>
      <c r="BC127" s="229">
        <v>-7.9181246047624804E-2</v>
      </c>
      <c r="BD127" s="91">
        <v>0</v>
      </c>
      <c r="BE127" s="75">
        <f t="shared" si="870"/>
        <v>7.9181246047624804E-2</v>
      </c>
      <c r="BF127" s="59">
        <f t="shared" ref="BF127" si="950">AVERAGE(BE127:BE128)</f>
        <v>-8.8643834802158081E-3</v>
      </c>
      <c r="BG127" s="228">
        <v>-7.9181246047624804E-2</v>
      </c>
      <c r="BH127" s="75">
        <f t="shared" si="872"/>
        <v>0</v>
      </c>
      <c r="BI127" s="78">
        <f t="shared" ref="BI127" si="951">AVERAGE(BH127:BH128)</f>
        <v>-4.845500650402821E-2</v>
      </c>
      <c r="BJ127" s="230">
        <v>96</v>
      </c>
      <c r="BK127" s="93"/>
    </row>
    <row r="128" spans="1:63" ht="15" customHeight="1">
      <c r="A128" s="81"/>
      <c r="B128" s="82"/>
      <c r="C128" s="251"/>
      <c r="D128" s="84"/>
      <c r="E128" s="250">
        <v>-2.75</v>
      </c>
      <c r="F128" s="59"/>
      <c r="G128" s="293"/>
      <c r="H128" s="54" t="s">
        <v>10</v>
      </c>
      <c r="I128" s="225">
        <v>25.75</v>
      </c>
      <c r="J128" s="73"/>
      <c r="K128" s="86">
        <v>25.69</v>
      </c>
      <c r="L128" s="58">
        <f t="shared" si="589"/>
        <v>-5.9999999999998721E-2</v>
      </c>
      <c r="M128" s="59"/>
      <c r="N128" s="86">
        <v>25.81</v>
      </c>
      <c r="O128" s="60">
        <f t="shared" si="591"/>
        <v>0.11999999999999744</v>
      </c>
      <c r="P128" s="226"/>
      <c r="Q128" s="86">
        <v>25.81</v>
      </c>
      <c r="R128" s="227">
        <f t="shared" si="593"/>
        <v>0.11999999999999744</v>
      </c>
      <c r="S128" s="59"/>
      <c r="T128" s="86">
        <v>25.91</v>
      </c>
      <c r="U128" s="60">
        <f t="shared" si="853"/>
        <v>0.21999999999999886</v>
      </c>
      <c r="V128" s="56"/>
      <c r="W128" s="86">
        <v>25.97</v>
      </c>
      <c r="X128" s="61">
        <f t="shared" si="854"/>
        <v>0.27999999999999758</v>
      </c>
      <c r="Y128" s="59"/>
      <c r="Z128" s="61">
        <f t="shared" si="855"/>
        <v>0.16000000000000014</v>
      </c>
      <c r="AA128" s="59"/>
      <c r="AB128" s="71">
        <v>3663</v>
      </c>
      <c r="AC128" s="66"/>
      <c r="AD128" s="87">
        <v>3861</v>
      </c>
      <c r="AE128" s="87">
        <v>3816</v>
      </c>
      <c r="AF128" s="71">
        <f t="shared" si="858"/>
        <v>-45</v>
      </c>
      <c r="AG128" s="66"/>
      <c r="AH128" s="87">
        <v>3816</v>
      </c>
      <c r="AI128" s="71">
        <f t="shared" si="860"/>
        <v>-45</v>
      </c>
      <c r="AJ128" s="100"/>
      <c r="AK128" s="88">
        <v>18</v>
      </c>
      <c r="AL128" s="78"/>
      <c r="AM128" s="89">
        <v>15.7</v>
      </c>
      <c r="AN128" s="89">
        <v>15</v>
      </c>
      <c r="AO128" s="214">
        <f t="shared" si="862"/>
        <v>-0.69999999999999929</v>
      </c>
      <c r="AP128" s="78"/>
      <c r="AQ128" s="89">
        <v>15.5</v>
      </c>
      <c r="AR128" s="63">
        <f t="shared" si="864"/>
        <v>-0.19999999999999929</v>
      </c>
      <c r="AS128" s="59"/>
      <c r="AT128" s="235">
        <v>1</v>
      </c>
      <c r="AU128" s="59"/>
      <c r="AV128" s="236">
        <v>4.5757490560675143E-2</v>
      </c>
      <c r="AW128" s="237">
        <v>0</v>
      </c>
      <c r="AX128" s="75">
        <f t="shared" si="866"/>
        <v>-4.5757490560675143E-2</v>
      </c>
      <c r="AY128" s="59"/>
      <c r="AZ128" s="242">
        <v>4.5757490560675143E-2</v>
      </c>
      <c r="BA128" s="71">
        <f t="shared" si="868"/>
        <v>0</v>
      </c>
      <c r="BB128" s="59"/>
      <c r="BC128" s="229">
        <v>9.691001300805642E-2</v>
      </c>
      <c r="BD128" s="91">
        <v>0</v>
      </c>
      <c r="BE128" s="75">
        <f t="shared" si="870"/>
        <v>-9.691001300805642E-2</v>
      </c>
      <c r="BF128" s="59"/>
      <c r="BG128" s="228">
        <v>0</v>
      </c>
      <c r="BH128" s="75">
        <f t="shared" si="872"/>
        <v>-9.691001300805642E-2</v>
      </c>
      <c r="BI128" s="78"/>
      <c r="BJ128" s="230"/>
      <c r="BK128" s="93"/>
    </row>
    <row r="129" spans="1:63" ht="15" customHeight="1">
      <c r="A129" s="247">
        <v>23</v>
      </c>
      <c r="B129" s="82" t="s">
        <v>28</v>
      </c>
      <c r="C129" s="232">
        <v>12.621917808219179</v>
      </c>
      <c r="D129" s="97" t="s">
        <v>0</v>
      </c>
      <c r="E129" s="85">
        <v>-2</v>
      </c>
      <c r="F129" s="100">
        <f t="shared" ref="F129:F133" si="952">AVERAGE(E129:E130)</f>
        <v>-2</v>
      </c>
      <c r="G129" s="272">
        <v>42189</v>
      </c>
      <c r="H129" s="54" t="s">
        <v>9</v>
      </c>
      <c r="I129" s="225">
        <v>24.68</v>
      </c>
      <c r="J129" s="205">
        <f t="shared" ref="J129:J133" si="953">AVERAGE(I129:I130)</f>
        <v>24.67</v>
      </c>
      <c r="K129" s="86">
        <v>24.71</v>
      </c>
      <c r="L129" s="58">
        <f t="shared" si="589"/>
        <v>3.0000000000001137E-2</v>
      </c>
      <c r="M129" s="100">
        <f t="shared" ref="M129" si="954">AVERAGE(L129:L130)</f>
        <v>5.0000000000000711E-2</v>
      </c>
      <c r="N129" s="86">
        <v>24.85</v>
      </c>
      <c r="O129" s="60">
        <f t="shared" si="591"/>
        <v>0.14000000000000057</v>
      </c>
      <c r="P129" s="233">
        <f t="shared" ref="P129" si="955">AVERAGE(O129:O130)</f>
        <v>0.16000000000000014</v>
      </c>
      <c r="Q129" s="86">
        <v>24.94</v>
      </c>
      <c r="R129" s="227">
        <f t="shared" si="593"/>
        <v>0.23000000000000043</v>
      </c>
      <c r="S129" s="59">
        <f t="shared" si="894"/>
        <v>0.22499999999999964</v>
      </c>
      <c r="T129" s="86">
        <v>25.02</v>
      </c>
      <c r="U129" s="60">
        <f t="shared" si="853"/>
        <v>0.30999999999999872</v>
      </c>
      <c r="V129" s="56">
        <f t="shared" si="595"/>
        <v>0.3149999999999995</v>
      </c>
      <c r="W129" s="86">
        <v>25.08</v>
      </c>
      <c r="X129" s="61">
        <f t="shared" si="854"/>
        <v>0.36999999999999744</v>
      </c>
      <c r="Y129" s="59">
        <f t="shared" si="941"/>
        <v>0.37999999999999901</v>
      </c>
      <c r="Z129" s="61">
        <f t="shared" si="855"/>
        <v>0.13999999999999702</v>
      </c>
      <c r="AA129" s="59">
        <f t="shared" ref="AA129" si="956">AVERAGE(Z129:Z130)</f>
        <v>0.15499999999999936</v>
      </c>
      <c r="AB129" s="71">
        <v>3215</v>
      </c>
      <c r="AC129" s="99">
        <f t="shared" ref="AC129" si="957">AVERAGE(AB129:AB130)</f>
        <v>3331.5</v>
      </c>
      <c r="AD129" s="87">
        <v>3257</v>
      </c>
      <c r="AE129" s="87">
        <v>3546</v>
      </c>
      <c r="AF129" s="71">
        <f t="shared" si="858"/>
        <v>289</v>
      </c>
      <c r="AG129" s="99">
        <f t="shared" ref="AG129" si="958">AVERAGE(AF129:AF130)</f>
        <v>150.5</v>
      </c>
      <c r="AH129" s="87">
        <v>2915</v>
      </c>
      <c r="AI129" s="71">
        <f t="shared" si="860"/>
        <v>-342</v>
      </c>
      <c r="AJ129" s="98">
        <f t="shared" ref="AJ129" si="959">AVERAGE(AI129:AI130)</f>
        <v>-165</v>
      </c>
      <c r="AK129" s="88">
        <v>16.5</v>
      </c>
      <c r="AL129" s="78">
        <f t="shared" si="746"/>
        <v>17</v>
      </c>
      <c r="AM129" s="89">
        <v>17.5</v>
      </c>
      <c r="AN129" s="89">
        <v>15.7</v>
      </c>
      <c r="AO129" s="214">
        <f t="shared" si="862"/>
        <v>-1.8000000000000007</v>
      </c>
      <c r="AP129" s="78">
        <f t="shared" ref="AP129" si="960">AVERAGE(AO129:AO130)</f>
        <v>-2.0500000000000007</v>
      </c>
      <c r="AQ129" s="89">
        <v>11</v>
      </c>
      <c r="AR129" s="63">
        <f t="shared" si="864"/>
        <v>-6.5</v>
      </c>
      <c r="AS129" s="59">
        <f t="shared" ref="AS129" si="961">AVERAGE(AR129:AR130)</f>
        <v>-7</v>
      </c>
      <c r="AT129" s="215">
        <v>0.52287874528033762</v>
      </c>
      <c r="AU129" s="59">
        <v>0.46040937697618761</v>
      </c>
      <c r="AV129" s="216">
        <v>-7.9181246047624804E-2</v>
      </c>
      <c r="AW129" s="217">
        <v>-7.9181246047624804E-2</v>
      </c>
      <c r="AX129" s="75">
        <f t="shared" si="866"/>
        <v>0</v>
      </c>
      <c r="AY129" s="59">
        <f t="shared" ref="AY129" si="962">AVERAGE(AX129:AX130)</f>
        <v>0</v>
      </c>
      <c r="AZ129" s="241">
        <v>-7.9181246047624804E-2</v>
      </c>
      <c r="BA129" s="71">
        <f t="shared" si="868"/>
        <v>0</v>
      </c>
      <c r="BB129" s="59">
        <f t="shared" ref="BB129" si="963">AVERAGE(BA129:BA130)</f>
        <v>3.9590623023812402E-2</v>
      </c>
      <c r="BC129" s="229">
        <v>-7.9181246047624804E-2</v>
      </c>
      <c r="BD129" s="91">
        <v>0</v>
      </c>
      <c r="BE129" s="75">
        <f t="shared" si="870"/>
        <v>7.9181246047624804E-2</v>
      </c>
      <c r="BF129" s="59">
        <f t="shared" ref="BF129" si="964">AVERAGE(BE129:BE130)</f>
        <v>7.9181246047624804E-2</v>
      </c>
      <c r="BG129" s="228">
        <v>0</v>
      </c>
      <c r="BH129" s="75">
        <f t="shared" si="872"/>
        <v>7.9181246047624804E-2</v>
      </c>
      <c r="BI129" s="78">
        <f t="shared" ref="BI129" si="965">AVERAGE(BH129:BH130)</f>
        <v>7.9181246047624804E-2</v>
      </c>
      <c r="BJ129" s="230">
        <v>100</v>
      </c>
      <c r="BK129" s="93"/>
    </row>
    <row r="130" spans="1:63" ht="15" customHeight="1">
      <c r="A130" s="81"/>
      <c r="B130" s="82"/>
      <c r="C130" s="234"/>
      <c r="D130" s="84"/>
      <c r="E130" s="85">
        <v>-2</v>
      </c>
      <c r="F130" s="59"/>
      <c r="G130" s="271"/>
      <c r="H130" s="54" t="s">
        <v>10</v>
      </c>
      <c r="I130" s="225">
        <v>24.66</v>
      </c>
      <c r="J130" s="73"/>
      <c r="K130" s="86">
        <v>24.73</v>
      </c>
      <c r="L130" s="58">
        <f t="shared" si="589"/>
        <v>7.0000000000000284E-2</v>
      </c>
      <c r="M130" s="59"/>
      <c r="N130" s="86">
        <v>24.91</v>
      </c>
      <c r="O130" s="60">
        <f t="shared" si="591"/>
        <v>0.17999999999999972</v>
      </c>
      <c r="P130" s="226"/>
      <c r="Q130" s="86">
        <v>24.95</v>
      </c>
      <c r="R130" s="227">
        <f t="shared" si="593"/>
        <v>0.21999999999999886</v>
      </c>
      <c r="S130" s="59"/>
      <c r="T130" s="86">
        <v>25.05</v>
      </c>
      <c r="U130" s="60">
        <f t="shared" si="853"/>
        <v>0.32000000000000028</v>
      </c>
      <c r="V130" s="56"/>
      <c r="W130" s="86">
        <v>25.12</v>
      </c>
      <c r="X130" s="61">
        <f t="shared" si="854"/>
        <v>0.39000000000000057</v>
      </c>
      <c r="Y130" s="59"/>
      <c r="Z130" s="61">
        <f t="shared" si="855"/>
        <v>0.17000000000000171</v>
      </c>
      <c r="AA130" s="59"/>
      <c r="AB130" s="71">
        <v>3448</v>
      </c>
      <c r="AC130" s="66"/>
      <c r="AD130" s="87">
        <v>3521</v>
      </c>
      <c r="AE130" s="87">
        <v>3533</v>
      </c>
      <c r="AF130" s="71">
        <f t="shared" si="858"/>
        <v>12</v>
      </c>
      <c r="AG130" s="66"/>
      <c r="AH130" s="87">
        <v>3533</v>
      </c>
      <c r="AI130" s="71">
        <f t="shared" si="860"/>
        <v>12</v>
      </c>
      <c r="AJ130" s="100"/>
      <c r="AK130" s="88">
        <v>17.5</v>
      </c>
      <c r="AL130" s="78"/>
      <c r="AM130" s="89">
        <v>19</v>
      </c>
      <c r="AN130" s="89">
        <v>16.7</v>
      </c>
      <c r="AO130" s="214">
        <f t="shared" si="862"/>
        <v>-2.3000000000000007</v>
      </c>
      <c r="AP130" s="78"/>
      <c r="AQ130" s="89">
        <v>11.5</v>
      </c>
      <c r="AR130" s="63">
        <f t="shared" si="864"/>
        <v>-7.5</v>
      </c>
      <c r="AS130" s="59"/>
      <c r="AT130" s="235">
        <v>0.3979400086720376</v>
      </c>
      <c r="AU130" s="59"/>
      <c r="AV130" s="236">
        <v>-7.9181246047624804E-2</v>
      </c>
      <c r="AW130" s="237">
        <v>-7.9181246047624804E-2</v>
      </c>
      <c r="AX130" s="75">
        <f t="shared" si="866"/>
        <v>0</v>
      </c>
      <c r="AY130" s="59"/>
      <c r="AZ130" s="242">
        <v>0</v>
      </c>
      <c r="BA130" s="71">
        <f t="shared" si="868"/>
        <v>7.9181246047624804E-2</v>
      </c>
      <c r="BB130" s="59"/>
      <c r="BC130" s="229">
        <v>-7.9181246047624804E-2</v>
      </c>
      <c r="BD130" s="91">
        <v>0</v>
      </c>
      <c r="BE130" s="75">
        <f t="shared" si="870"/>
        <v>7.9181246047624804E-2</v>
      </c>
      <c r="BF130" s="59"/>
      <c r="BG130" s="228">
        <v>0</v>
      </c>
      <c r="BH130" s="75">
        <f t="shared" si="872"/>
        <v>7.9181246047624804E-2</v>
      </c>
      <c r="BI130" s="78"/>
      <c r="BJ130" s="230"/>
      <c r="BK130" s="93"/>
    </row>
    <row r="131" spans="1:63" ht="15" customHeight="1">
      <c r="A131" s="247">
        <v>24</v>
      </c>
      <c r="B131" s="82" t="s">
        <v>28</v>
      </c>
      <c r="C131" s="232">
        <v>11.780821917808218</v>
      </c>
      <c r="D131" s="97" t="s">
        <v>1</v>
      </c>
      <c r="E131" s="85">
        <v>-3</v>
      </c>
      <c r="F131" s="100">
        <f t="shared" si="952"/>
        <v>-2.875</v>
      </c>
      <c r="G131" s="273">
        <v>42420</v>
      </c>
      <c r="H131" s="145" t="s">
        <v>9</v>
      </c>
      <c r="I131" s="240">
        <v>24.85</v>
      </c>
      <c r="J131" s="205">
        <f t="shared" si="953"/>
        <v>24.8</v>
      </c>
      <c r="K131" s="86">
        <v>24.89</v>
      </c>
      <c r="L131" s="58">
        <f t="shared" si="589"/>
        <v>3.9999999999999147E-2</v>
      </c>
      <c r="M131" s="100">
        <f t="shared" ref="M131" si="966">AVERAGE(L131:L132)</f>
        <v>4.4999999999999929E-2</v>
      </c>
      <c r="N131" s="86">
        <v>24.96</v>
      </c>
      <c r="O131" s="60">
        <f t="shared" si="591"/>
        <v>7.0000000000000284E-2</v>
      </c>
      <c r="P131" s="233">
        <f t="shared" ref="P131" si="967">AVERAGE(O131:O132)</f>
        <v>3.9999999999999147E-2</v>
      </c>
      <c r="Q131" s="86">
        <v>25</v>
      </c>
      <c r="R131" s="227">
        <f t="shared" si="593"/>
        <v>0.10999999999999943</v>
      </c>
      <c r="S131" s="59">
        <f t="shared" ref="S131" si="968">AVERAGE(R131:R132)</f>
        <v>6.9999999999998508E-2</v>
      </c>
      <c r="T131" s="86">
        <v>25.08</v>
      </c>
      <c r="U131" s="60">
        <f t="shared" si="853"/>
        <v>0.18999999999999773</v>
      </c>
      <c r="V131" s="56">
        <f t="shared" ref="V131" si="969">AVERAGE(U131:U132)</f>
        <v>0.14999999999999858</v>
      </c>
      <c r="W131" s="86">
        <v>25.12</v>
      </c>
      <c r="X131" s="61">
        <f t="shared" si="854"/>
        <v>0.23000000000000043</v>
      </c>
      <c r="Y131" s="59">
        <f t="shared" ref="Y131" si="970">AVERAGE(X131:X132)</f>
        <v>0.19999999999999929</v>
      </c>
      <c r="Z131" s="61">
        <f t="shared" si="855"/>
        <v>0.12000000000000099</v>
      </c>
      <c r="AA131" s="59">
        <f t="shared" ref="AA131" si="971">AVERAGE(Z131:Z132)</f>
        <v>0.13000000000000078</v>
      </c>
      <c r="AB131" s="71">
        <v>3412</v>
      </c>
      <c r="AC131" s="99">
        <f t="shared" ref="AC131" si="972">AVERAGE(AB131:AB132)</f>
        <v>3472.5</v>
      </c>
      <c r="AD131" s="87">
        <v>3816</v>
      </c>
      <c r="AE131" s="87">
        <v>3460</v>
      </c>
      <c r="AF131" s="71">
        <f t="shared" si="858"/>
        <v>-356</v>
      </c>
      <c r="AG131" s="99">
        <f t="shared" ref="AG131" si="973">AVERAGE(AF131:AF132)</f>
        <v>-14</v>
      </c>
      <c r="AH131" s="87">
        <v>3921</v>
      </c>
      <c r="AI131" s="71">
        <f t="shared" si="860"/>
        <v>105</v>
      </c>
      <c r="AJ131" s="98">
        <f t="shared" ref="AJ131" si="974">AVERAGE(AI131:AI132)</f>
        <v>270</v>
      </c>
      <c r="AK131" s="88">
        <v>12.5</v>
      </c>
      <c r="AL131" s="78">
        <f t="shared" si="746"/>
        <v>12.75</v>
      </c>
      <c r="AM131" s="89">
        <v>14.5</v>
      </c>
      <c r="AN131" s="89">
        <v>16.5</v>
      </c>
      <c r="AO131" s="214">
        <f t="shared" si="862"/>
        <v>2</v>
      </c>
      <c r="AP131" s="78">
        <f t="shared" ref="AP131" si="975">AVERAGE(AO131:AO132)</f>
        <v>1</v>
      </c>
      <c r="AQ131" s="89">
        <v>14</v>
      </c>
      <c r="AR131" s="63">
        <f t="shared" si="864"/>
        <v>-0.5</v>
      </c>
      <c r="AS131" s="59">
        <f t="shared" ref="AS131" si="976">AVERAGE(AR131:AR132)</f>
        <v>0</v>
      </c>
      <c r="AT131" s="215">
        <v>1.2218487496163564</v>
      </c>
      <c r="AU131" s="59">
        <v>1.2218487496163564</v>
      </c>
      <c r="AV131" s="216">
        <v>-7.9181246047624804E-2</v>
      </c>
      <c r="AW131" s="217">
        <v>-7.9181246047624804E-2</v>
      </c>
      <c r="AX131" s="75">
        <f t="shared" si="866"/>
        <v>0</v>
      </c>
      <c r="AY131" s="59">
        <f t="shared" ref="AY131" si="977">AVERAGE(AX131:AX132)</f>
        <v>-3.9590623023812402E-2</v>
      </c>
      <c r="AZ131" s="92">
        <v>4.5757490560675143E-2</v>
      </c>
      <c r="BA131" s="71">
        <f t="shared" si="868"/>
        <v>0.12493873660829995</v>
      </c>
      <c r="BB131" s="98">
        <f t="shared" ref="BB131" si="978">AVERAGE(BA131:BA132)</f>
        <v>2.2878745280337572E-2</v>
      </c>
      <c r="BC131" s="229">
        <v>-7.9181246047624804E-2</v>
      </c>
      <c r="BD131" s="91">
        <v>-7.9181246047624804E-2</v>
      </c>
      <c r="BE131" s="75">
        <f t="shared" si="870"/>
        <v>0</v>
      </c>
      <c r="BF131" s="59">
        <f t="shared" ref="BF131" si="979">AVERAGE(BE131:BE132)</f>
        <v>0</v>
      </c>
      <c r="BG131" s="228">
        <v>4.5757490560675143E-2</v>
      </c>
      <c r="BH131" s="75">
        <f t="shared" si="872"/>
        <v>0.12493873660829995</v>
      </c>
      <c r="BI131" s="98">
        <f t="shared" ref="BI131" si="980">AVERAGE(BH131:BH132)</f>
        <v>0.10205999132796237</v>
      </c>
      <c r="BJ131" s="230">
        <v>100</v>
      </c>
      <c r="BK131" s="93"/>
    </row>
    <row r="132" spans="1:63" ht="15" customHeight="1">
      <c r="A132" s="81"/>
      <c r="B132" s="82"/>
      <c r="C132" s="234"/>
      <c r="D132" s="84"/>
      <c r="E132" s="85">
        <v>-2.75</v>
      </c>
      <c r="F132" s="59"/>
      <c r="G132" s="274"/>
      <c r="H132" s="58" t="s">
        <v>10</v>
      </c>
      <c r="I132" s="240">
        <v>24.75</v>
      </c>
      <c r="J132" s="73"/>
      <c r="K132" s="86">
        <v>24.8</v>
      </c>
      <c r="L132" s="58">
        <f t="shared" si="589"/>
        <v>5.0000000000000711E-2</v>
      </c>
      <c r="M132" s="59"/>
      <c r="N132" s="86">
        <v>24.81</v>
      </c>
      <c r="O132" s="60">
        <f t="shared" si="591"/>
        <v>9.9999999999980105E-3</v>
      </c>
      <c r="P132" s="226"/>
      <c r="Q132" s="86">
        <v>24.83</v>
      </c>
      <c r="R132" s="227">
        <f t="shared" si="593"/>
        <v>2.9999999999997584E-2</v>
      </c>
      <c r="S132" s="59"/>
      <c r="T132" s="86">
        <v>24.91</v>
      </c>
      <c r="U132" s="60">
        <f t="shared" si="853"/>
        <v>0.10999999999999943</v>
      </c>
      <c r="V132" s="56"/>
      <c r="W132" s="86">
        <v>24.97</v>
      </c>
      <c r="X132" s="61">
        <f t="shared" si="854"/>
        <v>0.16999999999999815</v>
      </c>
      <c r="Y132" s="59"/>
      <c r="Z132" s="61">
        <f t="shared" si="855"/>
        <v>0.14000000000000057</v>
      </c>
      <c r="AA132" s="59"/>
      <c r="AB132" s="71">
        <v>3533</v>
      </c>
      <c r="AC132" s="66"/>
      <c r="AD132" s="87">
        <v>3533</v>
      </c>
      <c r="AE132" s="87">
        <v>3861</v>
      </c>
      <c r="AF132" s="71">
        <f t="shared" si="858"/>
        <v>328</v>
      </c>
      <c r="AG132" s="66"/>
      <c r="AH132" s="87">
        <v>3968</v>
      </c>
      <c r="AI132" s="71">
        <f t="shared" si="860"/>
        <v>435</v>
      </c>
      <c r="AJ132" s="100"/>
      <c r="AK132" s="88">
        <v>13</v>
      </c>
      <c r="AL132" s="78"/>
      <c r="AM132" s="89">
        <v>14.5</v>
      </c>
      <c r="AN132" s="89">
        <v>14.5</v>
      </c>
      <c r="AO132" s="214">
        <f t="shared" si="862"/>
        <v>0</v>
      </c>
      <c r="AP132" s="78"/>
      <c r="AQ132" s="89">
        <v>15</v>
      </c>
      <c r="AR132" s="63">
        <f t="shared" si="864"/>
        <v>0.5</v>
      </c>
      <c r="AS132" s="59"/>
      <c r="AT132" s="235">
        <v>1.2218487496163564</v>
      </c>
      <c r="AU132" s="59"/>
      <c r="AV132" s="236">
        <v>0</v>
      </c>
      <c r="AW132" s="237">
        <v>-7.9181246047624804E-2</v>
      </c>
      <c r="AX132" s="75">
        <f t="shared" si="866"/>
        <v>-7.9181246047624804E-2</v>
      </c>
      <c r="AY132" s="59"/>
      <c r="AZ132" s="92">
        <v>-7.9181246047624804E-2</v>
      </c>
      <c r="BA132" s="71">
        <f t="shared" si="868"/>
        <v>-7.9181246047624804E-2</v>
      </c>
      <c r="BB132" s="100"/>
      <c r="BC132" s="229">
        <v>-7.9181246047624804E-2</v>
      </c>
      <c r="BD132" s="91">
        <v>-7.9181246047624804E-2</v>
      </c>
      <c r="BE132" s="75">
        <f t="shared" si="870"/>
        <v>0</v>
      </c>
      <c r="BF132" s="59"/>
      <c r="BG132" s="228">
        <v>0</v>
      </c>
      <c r="BH132" s="75">
        <f t="shared" si="872"/>
        <v>7.9181246047624804E-2</v>
      </c>
      <c r="BI132" s="100"/>
      <c r="BJ132" s="230"/>
      <c r="BK132" s="93"/>
    </row>
    <row r="133" spans="1:63" ht="15" customHeight="1">
      <c r="A133" s="247">
        <v>25</v>
      </c>
      <c r="B133" s="82" t="s">
        <v>28</v>
      </c>
      <c r="C133" s="232">
        <v>12.58904109589041</v>
      </c>
      <c r="D133" s="97" t="s">
        <v>1</v>
      </c>
      <c r="E133" s="85">
        <v>-2.5</v>
      </c>
      <c r="F133" s="100">
        <f t="shared" si="952"/>
        <v>-2.5</v>
      </c>
      <c r="G133" s="279">
        <v>42506</v>
      </c>
      <c r="H133" s="58" t="s">
        <v>9</v>
      </c>
      <c r="I133" s="240">
        <v>25.23</v>
      </c>
      <c r="J133" s="205">
        <f t="shared" si="953"/>
        <v>25.189999999999998</v>
      </c>
      <c r="K133" s="86">
        <v>25.07</v>
      </c>
      <c r="L133" s="58">
        <f t="shared" si="589"/>
        <v>-0.16000000000000014</v>
      </c>
      <c r="M133" s="100">
        <f t="shared" ref="M133" si="981">AVERAGE(L133:L134)</f>
        <v>-0.12999999999999901</v>
      </c>
      <c r="N133" s="86">
        <v>25.03</v>
      </c>
      <c r="O133" s="60">
        <f t="shared" si="591"/>
        <v>-3.9999999999999147E-2</v>
      </c>
      <c r="P133" s="233">
        <f t="shared" ref="P133" si="982">AVERAGE(O133:O134)</f>
        <v>-5.0000000000007816E-3</v>
      </c>
      <c r="Q133" s="86">
        <v>25.2</v>
      </c>
      <c r="R133" s="227">
        <f t="shared" si="593"/>
        <v>0.12999999999999901</v>
      </c>
      <c r="S133" s="59">
        <f t="shared" ref="S133" si="983">AVERAGE(R133:R134)</f>
        <v>0.16999999999999993</v>
      </c>
      <c r="T133" s="86">
        <v>25.22</v>
      </c>
      <c r="U133" s="60">
        <f t="shared" si="853"/>
        <v>0.14999999999999858</v>
      </c>
      <c r="V133" s="56">
        <f t="shared" ref="V133" si="984">AVERAGE(U133:U134)</f>
        <v>0.20999999999999908</v>
      </c>
      <c r="W133" s="86">
        <v>25.29</v>
      </c>
      <c r="X133" s="61">
        <f t="shared" si="854"/>
        <v>0.21999999999999886</v>
      </c>
      <c r="Y133" s="59">
        <f t="shared" ref="Y133" si="985">AVERAGE(X133:X134)</f>
        <v>0.27499999999999858</v>
      </c>
      <c r="Z133" s="61">
        <f t="shared" si="855"/>
        <v>8.9999999999999858E-2</v>
      </c>
      <c r="AA133" s="59">
        <f t="shared" ref="AA133" si="986">AVERAGE(Z133:Z134)</f>
        <v>0.10499999999999865</v>
      </c>
      <c r="AB133" s="71">
        <v>3460</v>
      </c>
      <c r="AC133" s="99">
        <f t="shared" ref="AC133" si="987">AVERAGE(AB133:AB134)</f>
        <v>3496.5</v>
      </c>
      <c r="AD133" s="87">
        <v>3484</v>
      </c>
      <c r="AE133" s="87">
        <v>3597</v>
      </c>
      <c r="AF133" s="71">
        <f t="shared" si="858"/>
        <v>113</v>
      </c>
      <c r="AG133" s="99">
        <f t="shared" ref="AG133" si="988">AVERAGE(AF133:AF134)</f>
        <v>-18.5</v>
      </c>
      <c r="AH133" s="87">
        <v>3597</v>
      </c>
      <c r="AI133" s="71">
        <f t="shared" si="860"/>
        <v>113</v>
      </c>
      <c r="AJ133" s="98">
        <f t="shared" ref="AJ133" si="989">AVERAGE(AI133:AI134)</f>
        <v>-146.5</v>
      </c>
      <c r="AK133" s="88">
        <v>16</v>
      </c>
      <c r="AL133" s="78">
        <f t="shared" si="746"/>
        <v>15.75</v>
      </c>
      <c r="AM133" s="89">
        <v>15.3</v>
      </c>
      <c r="AN133" s="89">
        <v>17</v>
      </c>
      <c r="AO133" s="214">
        <f t="shared" si="862"/>
        <v>1.6999999999999993</v>
      </c>
      <c r="AP133" s="78">
        <f t="shared" ref="AP133" si="990">AVERAGE(AO133:AO134)</f>
        <v>2.1999999999999993</v>
      </c>
      <c r="AQ133" s="89">
        <v>17</v>
      </c>
      <c r="AR133" s="63">
        <f t="shared" si="864"/>
        <v>1.6999999999999993</v>
      </c>
      <c r="AS133" s="59">
        <f t="shared" ref="AS133" si="991">AVERAGE(AR133:AR134)</f>
        <v>1.1999999999999993</v>
      </c>
      <c r="AT133" s="215">
        <v>1</v>
      </c>
      <c r="AU133" s="59">
        <v>0.91195437047215933</v>
      </c>
      <c r="AV133" s="216">
        <v>-7.9181246047624804E-2</v>
      </c>
      <c r="AW133" s="217">
        <v>4.5757490560675143E-2</v>
      </c>
      <c r="AX133" s="75">
        <f t="shared" si="866"/>
        <v>0.12493873660829995</v>
      </c>
      <c r="AY133" s="59">
        <f t="shared" ref="AY133" si="992">AVERAGE(AX133:AX134)</f>
        <v>0.10205999132796237</v>
      </c>
      <c r="AZ133" s="92">
        <v>-7.9181246047624804E-2</v>
      </c>
      <c r="BA133" s="71">
        <f t="shared" si="868"/>
        <v>0</v>
      </c>
      <c r="BB133" s="98">
        <f t="shared" ref="BB133" si="993">AVERAGE(BA133:BA134)</f>
        <v>0</v>
      </c>
      <c r="BC133" s="229">
        <v>-7.9181246047624804E-2</v>
      </c>
      <c r="BD133" s="91">
        <v>-7.9181246047624804E-2</v>
      </c>
      <c r="BE133" s="75">
        <f t="shared" si="870"/>
        <v>0</v>
      </c>
      <c r="BF133" s="59">
        <f t="shared" ref="BF133" si="994">AVERAGE(BE133:BE134)</f>
        <v>-3.9590623023812402E-2</v>
      </c>
      <c r="BG133" s="228">
        <v>-7.9181246047624804E-2</v>
      </c>
      <c r="BH133" s="75">
        <f t="shared" si="872"/>
        <v>0</v>
      </c>
      <c r="BI133" s="98">
        <f t="shared" ref="BI133" si="995">AVERAGE(BH133:BH134)</f>
        <v>0</v>
      </c>
      <c r="BJ133" s="230">
        <v>75</v>
      </c>
      <c r="BK133" s="93"/>
    </row>
    <row r="134" spans="1:63" ht="15" customHeight="1">
      <c r="A134" s="81"/>
      <c r="B134" s="82"/>
      <c r="C134" s="234"/>
      <c r="D134" s="84"/>
      <c r="E134" s="85">
        <v>-2.5</v>
      </c>
      <c r="F134" s="59"/>
      <c r="G134" s="274"/>
      <c r="H134" s="58" t="s">
        <v>10</v>
      </c>
      <c r="I134" s="240">
        <v>25.15</v>
      </c>
      <c r="J134" s="73"/>
      <c r="K134" s="86">
        <v>25.05</v>
      </c>
      <c r="L134" s="58">
        <f t="shared" si="589"/>
        <v>-9.9999999999997868E-2</v>
      </c>
      <c r="M134" s="59"/>
      <c r="N134" s="86">
        <v>25.08</v>
      </c>
      <c r="O134" s="60">
        <f t="shared" si="591"/>
        <v>2.9999999999997584E-2</v>
      </c>
      <c r="P134" s="226"/>
      <c r="Q134" s="86">
        <v>25.26</v>
      </c>
      <c r="R134" s="227">
        <f t="shared" si="593"/>
        <v>0.21000000000000085</v>
      </c>
      <c r="S134" s="59"/>
      <c r="T134" s="86">
        <v>25.32</v>
      </c>
      <c r="U134" s="60">
        <f t="shared" si="853"/>
        <v>0.26999999999999957</v>
      </c>
      <c r="V134" s="56"/>
      <c r="W134" s="86">
        <v>25.38</v>
      </c>
      <c r="X134" s="61">
        <f t="shared" si="854"/>
        <v>0.32999999999999829</v>
      </c>
      <c r="Y134" s="59"/>
      <c r="Z134" s="61">
        <f t="shared" si="855"/>
        <v>0.11999999999999744</v>
      </c>
      <c r="AA134" s="59"/>
      <c r="AB134" s="71">
        <v>3533</v>
      </c>
      <c r="AC134" s="66"/>
      <c r="AD134" s="87">
        <v>3773</v>
      </c>
      <c r="AE134" s="87">
        <v>3623</v>
      </c>
      <c r="AF134" s="71">
        <f t="shared" si="858"/>
        <v>-150</v>
      </c>
      <c r="AG134" s="66"/>
      <c r="AH134" s="87">
        <v>3367</v>
      </c>
      <c r="AI134" s="71">
        <f t="shared" si="860"/>
        <v>-406</v>
      </c>
      <c r="AJ134" s="100"/>
      <c r="AK134" s="88">
        <v>15.5</v>
      </c>
      <c r="AL134" s="78"/>
      <c r="AM134" s="89">
        <v>16.3</v>
      </c>
      <c r="AN134" s="89">
        <v>19</v>
      </c>
      <c r="AO134" s="214">
        <f t="shared" si="862"/>
        <v>2.6999999999999993</v>
      </c>
      <c r="AP134" s="78"/>
      <c r="AQ134" s="89">
        <v>17</v>
      </c>
      <c r="AR134" s="63">
        <f t="shared" si="864"/>
        <v>0.69999999999999929</v>
      </c>
      <c r="AS134" s="59"/>
      <c r="AT134" s="235">
        <v>0.82390874094431876</v>
      </c>
      <c r="AU134" s="59"/>
      <c r="AV134" s="236">
        <v>-7.9181246047624804E-2</v>
      </c>
      <c r="AW134" s="237">
        <v>0</v>
      </c>
      <c r="AX134" s="75">
        <f t="shared" si="866"/>
        <v>7.9181246047624804E-2</v>
      </c>
      <c r="AY134" s="59"/>
      <c r="AZ134" s="92">
        <v>-7.9181246047624804E-2</v>
      </c>
      <c r="BA134" s="71">
        <f t="shared" si="868"/>
        <v>0</v>
      </c>
      <c r="BB134" s="100"/>
      <c r="BC134" s="229">
        <v>0</v>
      </c>
      <c r="BD134" s="91">
        <v>-7.9181246047624804E-2</v>
      </c>
      <c r="BE134" s="75">
        <f t="shared" si="870"/>
        <v>-7.9181246047624804E-2</v>
      </c>
      <c r="BF134" s="59"/>
      <c r="BG134" s="228">
        <v>0</v>
      </c>
      <c r="BH134" s="75">
        <f t="shared" si="872"/>
        <v>0</v>
      </c>
      <c r="BI134" s="100"/>
      <c r="BJ134" s="230"/>
      <c r="BK134" s="93"/>
    </row>
    <row r="135" spans="1:63" ht="15" customHeight="1">
      <c r="A135" s="247">
        <v>26</v>
      </c>
      <c r="B135" s="82" t="s">
        <v>29</v>
      </c>
      <c r="C135" s="243">
        <v>11.632876712328768</v>
      </c>
      <c r="D135" s="97" t="s">
        <v>0</v>
      </c>
      <c r="E135" s="107">
        <v>-1.5</v>
      </c>
      <c r="F135" s="100">
        <f t="shared" ref="F135:F137" si="996">AVERAGE(E135:E136)</f>
        <v>-1.5</v>
      </c>
      <c r="G135" s="275">
        <v>42086</v>
      </c>
      <c r="H135" s="135" t="s">
        <v>9</v>
      </c>
      <c r="I135" s="111">
        <v>24.74</v>
      </c>
      <c r="J135" s="205">
        <f t="shared" ref="J135:J137" si="997">AVERAGE(I135:I136)</f>
        <v>24.655000000000001</v>
      </c>
      <c r="K135" s="118">
        <v>24.56</v>
      </c>
      <c r="L135" s="58">
        <f t="shared" si="589"/>
        <v>-0.17999999999999972</v>
      </c>
      <c r="M135" s="100">
        <f t="shared" ref="M135" si="998">AVERAGE(L135:L136)</f>
        <v>-8.0000000000000071E-2</v>
      </c>
      <c r="N135" s="118">
        <v>24.91</v>
      </c>
      <c r="O135" s="60">
        <f t="shared" si="591"/>
        <v>0.35000000000000142</v>
      </c>
      <c r="P135" s="233">
        <f t="shared" ref="P135" si="999">AVERAGE(O135:O136)</f>
        <v>0.24500000000000099</v>
      </c>
      <c r="Q135" s="118">
        <v>25.01</v>
      </c>
      <c r="R135" s="227">
        <f t="shared" si="593"/>
        <v>0.45000000000000284</v>
      </c>
      <c r="S135" s="59">
        <f t="shared" ref="S135" si="1000">AVERAGE(R135:R136)</f>
        <v>0.35000000000000142</v>
      </c>
      <c r="T135" s="86">
        <v>25.15</v>
      </c>
      <c r="U135" s="60">
        <f t="shared" si="853"/>
        <v>0.58999999999999986</v>
      </c>
      <c r="V135" s="56">
        <f t="shared" si="595"/>
        <v>0.46499999999999986</v>
      </c>
      <c r="W135" s="86">
        <v>25.3</v>
      </c>
      <c r="X135" s="61">
        <f t="shared" si="854"/>
        <v>0.74000000000000199</v>
      </c>
      <c r="Y135" s="59">
        <f t="shared" si="941"/>
        <v>0.62000000000000099</v>
      </c>
      <c r="Z135" s="61">
        <f t="shared" si="855"/>
        <v>0.28999999999999915</v>
      </c>
      <c r="AA135" s="59">
        <f t="shared" ref="AA135" si="1001">AVERAGE(Z135:Z136)</f>
        <v>0.26999999999999957</v>
      </c>
      <c r="AB135" s="111">
        <v>3058</v>
      </c>
      <c r="AC135" s="99">
        <f t="shared" ref="AC135" si="1002">AVERAGE(AB135:AB136)</f>
        <v>3053.5</v>
      </c>
      <c r="AD135" s="112">
        <v>3096</v>
      </c>
      <c r="AE135" s="112">
        <v>2843</v>
      </c>
      <c r="AF135" s="71">
        <f t="shared" si="858"/>
        <v>-253</v>
      </c>
      <c r="AG135" s="99">
        <f t="shared" ref="AG135" si="1003">AVERAGE(AF135:AF136)</f>
        <v>-332</v>
      </c>
      <c r="AH135" s="112">
        <v>3195</v>
      </c>
      <c r="AI135" s="71">
        <f t="shared" si="860"/>
        <v>99</v>
      </c>
      <c r="AJ135" s="98">
        <f t="shared" ref="AJ135" si="1004">AVERAGE(AI135:AI136)</f>
        <v>58</v>
      </c>
      <c r="AK135" s="113">
        <v>11</v>
      </c>
      <c r="AL135" s="78">
        <f t="shared" si="746"/>
        <v>10.5</v>
      </c>
      <c r="AM135" s="114">
        <v>15</v>
      </c>
      <c r="AN135" s="114">
        <v>9</v>
      </c>
      <c r="AO135" s="214">
        <f t="shared" si="862"/>
        <v>-6</v>
      </c>
      <c r="AP135" s="78">
        <f t="shared" ref="AP135" si="1005">AVERAGE(AO135:AO136)</f>
        <v>-3.5</v>
      </c>
      <c r="AQ135" s="114">
        <v>11</v>
      </c>
      <c r="AR135" s="63">
        <f t="shared" si="864"/>
        <v>-4</v>
      </c>
      <c r="AS135" s="59">
        <f t="shared" ref="AS135" si="1006">AVERAGE(AR135:AR136)</f>
        <v>-1</v>
      </c>
      <c r="AT135" s="215">
        <v>0.52287874528033762</v>
      </c>
      <c r="AU135" s="59">
        <v>0.67339374311232825</v>
      </c>
      <c r="AV135" s="216">
        <v>-7.9181246047624804E-2</v>
      </c>
      <c r="AW135" s="217">
        <v>4.5757490560675143E-2</v>
      </c>
      <c r="AX135" s="75">
        <f t="shared" si="866"/>
        <v>0.12493873660829995</v>
      </c>
      <c r="AY135" s="59">
        <f t="shared" ref="AY135" si="1007">AVERAGE(AX135:AX136)</f>
        <v>6.2469368304149973E-2</v>
      </c>
      <c r="AZ135" s="241">
        <v>4.5757490560675143E-2</v>
      </c>
      <c r="BA135" s="71">
        <f t="shared" si="868"/>
        <v>0.12493873660829995</v>
      </c>
      <c r="BB135" s="59">
        <f t="shared" ref="BB135" si="1008">AVERAGE(BA135:BA136)</f>
        <v>6.2469368304149973E-2</v>
      </c>
      <c r="BC135" s="229">
        <v>-7.9181246047624804E-2</v>
      </c>
      <c r="BD135" s="91">
        <v>-7.9181246047624804E-2</v>
      </c>
      <c r="BE135" s="75">
        <f t="shared" si="870"/>
        <v>0</v>
      </c>
      <c r="BF135" s="59">
        <f t="shared" ref="BF135" si="1009">AVERAGE(BE135:BE136)</f>
        <v>0</v>
      </c>
      <c r="BG135" s="228">
        <v>-7.9181246047624804E-2</v>
      </c>
      <c r="BH135" s="75">
        <f t="shared" si="872"/>
        <v>0</v>
      </c>
      <c r="BI135" s="78">
        <f t="shared" ref="BI135" si="1010">AVERAGE(BH135:BH136)</f>
        <v>0</v>
      </c>
      <c r="BJ135" s="230">
        <v>63</v>
      </c>
      <c r="BK135" s="93"/>
    </row>
    <row r="136" spans="1:63" ht="15" customHeight="1">
      <c r="A136" s="81"/>
      <c r="B136" s="82"/>
      <c r="C136" s="245"/>
      <c r="D136" s="84"/>
      <c r="E136" s="107">
        <v>-1.5</v>
      </c>
      <c r="F136" s="59"/>
      <c r="G136" s="276"/>
      <c r="H136" s="135" t="s">
        <v>10</v>
      </c>
      <c r="I136" s="111">
        <v>24.57</v>
      </c>
      <c r="J136" s="73"/>
      <c r="K136" s="118">
        <v>24.59</v>
      </c>
      <c r="L136" s="58">
        <f t="shared" si="589"/>
        <v>1.9999999999999574E-2</v>
      </c>
      <c r="M136" s="59"/>
      <c r="N136" s="118">
        <v>24.73</v>
      </c>
      <c r="O136" s="60">
        <f t="shared" si="591"/>
        <v>0.14000000000000057</v>
      </c>
      <c r="P136" s="226"/>
      <c r="Q136" s="118">
        <v>24.84</v>
      </c>
      <c r="R136" s="227">
        <f t="shared" si="593"/>
        <v>0.25</v>
      </c>
      <c r="S136" s="59"/>
      <c r="T136" s="86">
        <v>24.93</v>
      </c>
      <c r="U136" s="60">
        <f t="shared" si="853"/>
        <v>0.33999999999999986</v>
      </c>
      <c r="V136" s="56"/>
      <c r="W136" s="86">
        <v>25.09</v>
      </c>
      <c r="X136" s="61">
        <f t="shared" si="854"/>
        <v>0.5</v>
      </c>
      <c r="Y136" s="59"/>
      <c r="Z136" s="61">
        <f t="shared" si="855"/>
        <v>0.25</v>
      </c>
      <c r="AA136" s="59"/>
      <c r="AB136" s="111">
        <v>3049</v>
      </c>
      <c r="AC136" s="66"/>
      <c r="AD136" s="112">
        <v>3333</v>
      </c>
      <c r="AE136" s="112">
        <v>2922</v>
      </c>
      <c r="AF136" s="71">
        <f t="shared" si="858"/>
        <v>-411</v>
      </c>
      <c r="AG136" s="66"/>
      <c r="AH136" s="112">
        <v>3350</v>
      </c>
      <c r="AI136" s="71">
        <f t="shared" si="860"/>
        <v>17</v>
      </c>
      <c r="AJ136" s="100"/>
      <c r="AK136" s="113">
        <v>10</v>
      </c>
      <c r="AL136" s="78"/>
      <c r="AM136" s="114">
        <v>11</v>
      </c>
      <c r="AN136" s="114">
        <v>10</v>
      </c>
      <c r="AO136" s="214">
        <f t="shared" si="862"/>
        <v>-1</v>
      </c>
      <c r="AP136" s="78"/>
      <c r="AQ136" s="114">
        <v>13</v>
      </c>
      <c r="AR136" s="63">
        <f t="shared" si="864"/>
        <v>2</v>
      </c>
      <c r="AS136" s="59"/>
      <c r="AT136" s="235">
        <v>0.82390874094431876</v>
      </c>
      <c r="AU136" s="59"/>
      <c r="AV136" s="236">
        <v>-7.9181246047624804E-2</v>
      </c>
      <c r="AW136" s="237">
        <v>-7.9181246047624804E-2</v>
      </c>
      <c r="AX136" s="75">
        <f t="shared" si="866"/>
        <v>0</v>
      </c>
      <c r="AY136" s="59"/>
      <c r="AZ136" s="242">
        <v>-7.9181246047624804E-2</v>
      </c>
      <c r="BA136" s="71">
        <f t="shared" si="868"/>
        <v>0</v>
      </c>
      <c r="BB136" s="59"/>
      <c r="BC136" s="229">
        <v>-7.9181246047624804E-2</v>
      </c>
      <c r="BD136" s="91">
        <v>-7.9181246047624804E-2</v>
      </c>
      <c r="BE136" s="75">
        <f t="shared" si="870"/>
        <v>0</v>
      </c>
      <c r="BF136" s="59"/>
      <c r="BG136" s="228">
        <v>-7.9181246047624804E-2</v>
      </c>
      <c r="BH136" s="75">
        <f t="shared" si="872"/>
        <v>0</v>
      </c>
      <c r="BI136" s="78"/>
      <c r="BJ136" s="230"/>
      <c r="BK136" s="93"/>
    </row>
    <row r="137" spans="1:63" ht="15" customHeight="1">
      <c r="A137" s="247">
        <v>27</v>
      </c>
      <c r="B137" s="82" t="s">
        <v>29</v>
      </c>
      <c r="C137" s="243">
        <v>12.367123287671232</v>
      </c>
      <c r="D137" s="97" t="s">
        <v>0</v>
      </c>
      <c r="E137" s="107">
        <v>-2.25</v>
      </c>
      <c r="F137" s="100">
        <f t="shared" si="996"/>
        <v>-2.25</v>
      </c>
      <c r="G137" s="294">
        <v>42709</v>
      </c>
      <c r="H137" s="140" t="s">
        <v>9</v>
      </c>
      <c r="I137" s="111">
        <v>25.43</v>
      </c>
      <c r="J137" s="205">
        <f t="shared" si="997"/>
        <v>25.48</v>
      </c>
      <c r="K137" s="118">
        <v>25.45</v>
      </c>
      <c r="L137" s="58">
        <f t="shared" si="589"/>
        <v>1.9999999999999574E-2</v>
      </c>
      <c r="M137" s="100">
        <f t="shared" ref="M137" si="1011">AVERAGE(L137:L138)</f>
        <v>-5.0000000000007816E-3</v>
      </c>
      <c r="N137" s="118">
        <v>25.53</v>
      </c>
      <c r="O137" s="60">
        <f t="shared" si="591"/>
        <v>8.0000000000001847E-2</v>
      </c>
      <c r="P137" s="252">
        <f t="shared" ref="P137" si="1012">AVERAGE(O137:O138)</f>
        <v>8.0000000000000071E-2</v>
      </c>
      <c r="Q137" s="118">
        <v>25.62</v>
      </c>
      <c r="R137" s="227">
        <f t="shared" si="593"/>
        <v>0.17000000000000171</v>
      </c>
      <c r="S137" s="59">
        <f t="shared" ref="S137" si="1013">AVERAGE(R137:R138)</f>
        <v>0.17000000000000171</v>
      </c>
      <c r="T137" s="104">
        <v>25.57</v>
      </c>
      <c r="U137" s="60">
        <f t="shared" si="853"/>
        <v>0.12000000000000099</v>
      </c>
      <c r="V137" s="56">
        <f t="shared" ref="V137" si="1014">AVERAGE(U137:U138)</f>
        <v>0.14000000000000057</v>
      </c>
      <c r="W137" s="104">
        <v>25.6</v>
      </c>
      <c r="X137" s="61">
        <f t="shared" si="854"/>
        <v>0.15000000000000213</v>
      </c>
      <c r="Y137" s="59">
        <f t="shared" ref="Y137" si="1015">AVERAGE(X137:X138)</f>
        <v>0.16500000000000092</v>
      </c>
      <c r="Z137" s="61">
        <f t="shared" si="855"/>
        <v>-1.9999999999999574E-2</v>
      </c>
      <c r="AA137" s="59">
        <f t="shared" ref="AA137" si="1016">AVERAGE(Z137:Z138)</f>
        <v>-5.0000000000007816E-3</v>
      </c>
      <c r="AB137" s="111">
        <v>3194</v>
      </c>
      <c r="AC137" s="99">
        <f t="shared" ref="AC137" si="1017">AVERAGE(AB137:AB138)</f>
        <v>3110</v>
      </c>
      <c r="AD137" s="112">
        <v>3200</v>
      </c>
      <c r="AE137" s="112">
        <v>3162</v>
      </c>
      <c r="AF137" s="71">
        <f t="shared" si="858"/>
        <v>-38</v>
      </c>
      <c r="AG137" s="99">
        <f t="shared" ref="AG137" si="1018">AVERAGE(AF137:AF138)</f>
        <v>89</v>
      </c>
      <c r="AH137" s="112">
        <v>3187</v>
      </c>
      <c r="AI137" s="71">
        <f t="shared" si="860"/>
        <v>-13</v>
      </c>
      <c r="AJ137" s="98">
        <f t="shared" ref="AJ137" si="1019">AVERAGE(AI137:AI138)</f>
        <v>117.5</v>
      </c>
      <c r="AK137" s="113">
        <v>14</v>
      </c>
      <c r="AL137" s="78">
        <f t="shared" si="746"/>
        <v>14</v>
      </c>
      <c r="AM137" s="114">
        <v>13</v>
      </c>
      <c r="AN137" s="114">
        <v>15</v>
      </c>
      <c r="AO137" s="214">
        <f t="shared" si="862"/>
        <v>2</v>
      </c>
      <c r="AP137" s="78">
        <f t="shared" ref="AP137" si="1020">AVERAGE(AO137:AO138)</f>
        <v>0.5</v>
      </c>
      <c r="AQ137" s="114">
        <v>13</v>
      </c>
      <c r="AR137" s="63">
        <f t="shared" si="864"/>
        <v>0</v>
      </c>
      <c r="AS137" s="59">
        <f t="shared" ref="AS137" si="1021">AVERAGE(AR137:AR138)</f>
        <v>-0.5</v>
      </c>
      <c r="AT137" s="215">
        <v>0.69897000433601886</v>
      </c>
      <c r="AU137" s="59">
        <v>0.69897000433601886</v>
      </c>
      <c r="AV137" s="216">
        <v>-7.9181246047624804E-2</v>
      </c>
      <c r="AW137" s="217">
        <v>0</v>
      </c>
      <c r="AX137" s="75">
        <f t="shared" si="866"/>
        <v>7.9181246047624804E-2</v>
      </c>
      <c r="AY137" s="59">
        <f t="shared" ref="AY137" si="1022">AVERAGE(AX137:AX138)</f>
        <v>7.9181246047624804E-2</v>
      </c>
      <c r="AZ137" s="241">
        <v>-7.9181246047624804E-2</v>
      </c>
      <c r="BA137" s="71">
        <f t="shared" si="868"/>
        <v>0</v>
      </c>
      <c r="BB137" s="59">
        <f t="shared" ref="BB137" si="1023">AVERAGE(BA137:BA138)</f>
        <v>0</v>
      </c>
      <c r="BC137" s="229">
        <v>-7.9181246047624804E-2</v>
      </c>
      <c r="BD137" s="91">
        <v>0</v>
      </c>
      <c r="BE137" s="75">
        <f t="shared" si="870"/>
        <v>7.9181246047624804E-2</v>
      </c>
      <c r="BF137" s="59">
        <f t="shared" ref="BF137" si="1024">AVERAGE(BE137:BE138)</f>
        <v>7.9181246047624804E-2</v>
      </c>
      <c r="BG137" s="228">
        <v>-7.9181246047624804E-2</v>
      </c>
      <c r="BH137" s="75">
        <f t="shared" si="872"/>
        <v>0</v>
      </c>
      <c r="BI137" s="78">
        <f t="shared" ref="BI137" si="1025">AVERAGE(BH137:BH138)</f>
        <v>0</v>
      </c>
      <c r="BJ137" s="230">
        <v>98</v>
      </c>
      <c r="BK137" s="93"/>
    </row>
    <row r="138" spans="1:63" ht="15" customHeight="1">
      <c r="A138" s="81"/>
      <c r="B138" s="82"/>
      <c r="C138" s="245"/>
      <c r="D138" s="84"/>
      <c r="E138" s="107">
        <v>-2.25</v>
      </c>
      <c r="F138" s="59"/>
      <c r="G138" s="294"/>
      <c r="H138" s="140" t="s">
        <v>10</v>
      </c>
      <c r="I138" s="111">
        <v>25.53</v>
      </c>
      <c r="J138" s="73"/>
      <c r="K138" s="118">
        <v>25.5</v>
      </c>
      <c r="L138" s="58">
        <f t="shared" si="589"/>
        <v>-3.0000000000001137E-2</v>
      </c>
      <c r="M138" s="59"/>
      <c r="N138" s="118">
        <v>25.58</v>
      </c>
      <c r="O138" s="60">
        <f t="shared" si="591"/>
        <v>7.9999999999998295E-2</v>
      </c>
      <c r="P138" s="233"/>
      <c r="Q138" s="118">
        <v>25.67</v>
      </c>
      <c r="R138" s="227">
        <f t="shared" si="593"/>
        <v>0.17000000000000171</v>
      </c>
      <c r="S138" s="59"/>
      <c r="T138" s="104">
        <v>25.66</v>
      </c>
      <c r="U138" s="60">
        <f t="shared" si="853"/>
        <v>0.16000000000000014</v>
      </c>
      <c r="V138" s="56"/>
      <c r="W138" s="104">
        <v>25.68</v>
      </c>
      <c r="X138" s="61">
        <f t="shared" si="854"/>
        <v>0.17999999999999972</v>
      </c>
      <c r="Y138" s="59"/>
      <c r="Z138" s="61">
        <f t="shared" si="855"/>
        <v>9.9999999999980105E-3</v>
      </c>
      <c r="AA138" s="59"/>
      <c r="AB138" s="111">
        <v>3026</v>
      </c>
      <c r="AC138" s="66"/>
      <c r="AD138" s="112">
        <v>2874</v>
      </c>
      <c r="AE138" s="112">
        <v>3090</v>
      </c>
      <c r="AF138" s="71">
        <f t="shared" si="858"/>
        <v>216</v>
      </c>
      <c r="AG138" s="66"/>
      <c r="AH138" s="112">
        <v>3122</v>
      </c>
      <c r="AI138" s="71">
        <f t="shared" si="860"/>
        <v>248</v>
      </c>
      <c r="AJ138" s="100"/>
      <c r="AK138" s="113">
        <v>14</v>
      </c>
      <c r="AL138" s="78"/>
      <c r="AM138" s="114">
        <v>14</v>
      </c>
      <c r="AN138" s="114">
        <v>13</v>
      </c>
      <c r="AO138" s="214">
        <f t="shared" si="862"/>
        <v>-1</v>
      </c>
      <c r="AP138" s="78"/>
      <c r="AQ138" s="114">
        <v>13</v>
      </c>
      <c r="AR138" s="63">
        <f t="shared" si="864"/>
        <v>-1</v>
      </c>
      <c r="AS138" s="59"/>
      <c r="AT138" s="235">
        <v>0.69897000433601886</v>
      </c>
      <c r="AU138" s="59"/>
      <c r="AV138" s="236">
        <v>-7.9181246047624804E-2</v>
      </c>
      <c r="AW138" s="237">
        <v>0</v>
      </c>
      <c r="AX138" s="75">
        <f t="shared" si="866"/>
        <v>7.9181246047624804E-2</v>
      </c>
      <c r="AY138" s="59"/>
      <c r="AZ138" s="242">
        <v>-7.9181246047624804E-2</v>
      </c>
      <c r="BA138" s="71">
        <f t="shared" si="868"/>
        <v>0</v>
      </c>
      <c r="BB138" s="59"/>
      <c r="BC138" s="229">
        <v>-7.9181246047624804E-2</v>
      </c>
      <c r="BD138" s="91">
        <v>0</v>
      </c>
      <c r="BE138" s="75">
        <f t="shared" si="870"/>
        <v>7.9181246047624804E-2</v>
      </c>
      <c r="BF138" s="59"/>
      <c r="BG138" s="228">
        <v>-7.9181246047624804E-2</v>
      </c>
      <c r="BH138" s="75">
        <f t="shared" si="872"/>
        <v>0</v>
      </c>
      <c r="BI138" s="78"/>
      <c r="BJ138" s="230"/>
      <c r="BK138" s="93"/>
    </row>
    <row r="139" spans="1:63" ht="15" customHeight="1">
      <c r="A139" s="247">
        <v>28</v>
      </c>
      <c r="B139" s="82" t="s">
        <v>28</v>
      </c>
      <c r="C139" s="232">
        <v>12.186301369863013</v>
      </c>
      <c r="D139" s="97" t="s">
        <v>0</v>
      </c>
      <c r="E139" s="85">
        <v>-4.25</v>
      </c>
      <c r="F139" s="100">
        <f t="shared" ref="F139" si="1026">AVERAGE(E139:E140)</f>
        <v>-4.125</v>
      </c>
      <c r="G139" s="286">
        <v>42094</v>
      </c>
      <c r="H139" s="139" t="s">
        <v>9</v>
      </c>
      <c r="I139" s="204">
        <v>25.86</v>
      </c>
      <c r="J139" s="205">
        <f t="shared" ref="J139" si="1027">AVERAGE(I139:I140)</f>
        <v>25.75</v>
      </c>
      <c r="K139" s="86">
        <v>25.78</v>
      </c>
      <c r="L139" s="58">
        <f t="shared" si="589"/>
        <v>-7.9999999999998295E-2</v>
      </c>
      <c r="M139" s="100">
        <f t="shared" ref="M139" si="1028">AVERAGE(L139:L140)</f>
        <v>-2.4999999999998579E-2</v>
      </c>
      <c r="N139" s="86">
        <v>25.84</v>
      </c>
      <c r="O139" s="60">
        <f t="shared" si="591"/>
        <v>5.9999999999998721E-2</v>
      </c>
      <c r="P139" s="233">
        <f t="shared" ref="P139" si="1029">AVERAGE(O139:O140)</f>
        <v>3.9999999999999147E-2</v>
      </c>
      <c r="Q139" s="86">
        <v>25.99</v>
      </c>
      <c r="R139" s="227">
        <f t="shared" si="593"/>
        <v>0.2099999999999973</v>
      </c>
      <c r="S139" s="59">
        <f t="shared" ref="S139" si="1030">AVERAGE(R139:R140)</f>
        <v>0.18999999999999773</v>
      </c>
      <c r="T139" s="127">
        <v>26.1</v>
      </c>
      <c r="U139" s="60">
        <f t="shared" si="853"/>
        <v>0.32000000000000028</v>
      </c>
      <c r="V139" s="56">
        <f t="shared" si="595"/>
        <v>0.33999999999999986</v>
      </c>
      <c r="W139" s="110">
        <v>26.23</v>
      </c>
      <c r="X139" s="61">
        <f t="shared" si="854"/>
        <v>0.44999999999999929</v>
      </c>
      <c r="Y139" s="59">
        <f t="shared" ref="Y139" si="1031">AVERAGE(X139:X140)</f>
        <v>0.49499999999999922</v>
      </c>
      <c r="Z139" s="61">
        <f t="shared" si="855"/>
        <v>0.24000000000000199</v>
      </c>
      <c r="AA139" s="59">
        <f t="shared" ref="AA139" si="1032">AVERAGE(Z139:Z140)</f>
        <v>0.30500000000000149</v>
      </c>
      <c r="AB139" s="71">
        <v>3448</v>
      </c>
      <c r="AC139" s="99">
        <f t="shared" ref="AC139" si="1033">AVERAGE(AB139:AB140)</f>
        <v>3169</v>
      </c>
      <c r="AD139" s="87">
        <v>3125</v>
      </c>
      <c r="AE139" s="87">
        <v>3164</v>
      </c>
      <c r="AF139" s="71">
        <f t="shared" si="858"/>
        <v>39</v>
      </c>
      <c r="AG139" s="99">
        <f t="shared" ref="AG139" si="1034">AVERAGE(AF139:AF140)</f>
        <v>-115.5</v>
      </c>
      <c r="AH139" s="87">
        <v>3267</v>
      </c>
      <c r="AI139" s="71">
        <f t="shared" si="860"/>
        <v>142</v>
      </c>
      <c r="AJ139" s="98">
        <f t="shared" ref="AJ139" si="1035">AVERAGE(AI139:AI140)</f>
        <v>45</v>
      </c>
      <c r="AK139" s="88">
        <v>11</v>
      </c>
      <c r="AL139" s="78">
        <f t="shared" si="746"/>
        <v>11</v>
      </c>
      <c r="AM139" s="89">
        <v>8</v>
      </c>
      <c r="AN139" s="89">
        <v>11</v>
      </c>
      <c r="AO139" s="214">
        <f t="shared" si="862"/>
        <v>3</v>
      </c>
      <c r="AP139" s="78">
        <f t="shared" ref="AP139" si="1036">AVERAGE(AO139:AO140)</f>
        <v>4</v>
      </c>
      <c r="AQ139" s="89">
        <v>10</v>
      </c>
      <c r="AR139" s="63">
        <f t="shared" si="864"/>
        <v>2</v>
      </c>
      <c r="AS139" s="59">
        <f t="shared" ref="AS139" si="1037">AVERAGE(AR139:AR140)</f>
        <v>3.25</v>
      </c>
      <c r="AT139" s="215">
        <v>0.3979400086720376</v>
      </c>
      <c r="AU139" s="59">
        <v>0.3979400086720376</v>
      </c>
      <c r="AV139" s="216">
        <v>0</v>
      </c>
      <c r="AW139" s="217">
        <v>9.691001300805642E-2</v>
      </c>
      <c r="AX139" s="75">
        <f t="shared" si="866"/>
        <v>9.691001300805642E-2</v>
      </c>
      <c r="AY139" s="59">
        <f t="shared" ref="AY139" si="1038">AVERAGE(AX139:AX140)</f>
        <v>4.845500650402821E-2</v>
      </c>
      <c r="AZ139" s="241">
        <v>9.691001300805642E-2</v>
      </c>
      <c r="BA139" s="71">
        <f t="shared" si="868"/>
        <v>9.691001300805642E-2</v>
      </c>
      <c r="BB139" s="59">
        <f t="shared" ref="BB139" si="1039">AVERAGE(BA139:BA140)</f>
        <v>7.1333751784365781E-2</v>
      </c>
      <c r="BC139" s="229">
        <v>4.5757490560675143E-2</v>
      </c>
      <c r="BD139" s="91">
        <v>0</v>
      </c>
      <c r="BE139" s="75">
        <f t="shared" si="870"/>
        <v>-4.5757490560675143E-2</v>
      </c>
      <c r="BF139" s="59">
        <f t="shared" ref="BF139" si="1040">AVERAGE(BE139:BE140)</f>
        <v>-4.5757490560675143E-2</v>
      </c>
      <c r="BG139" s="228">
        <v>4.5757490560675143E-2</v>
      </c>
      <c r="BH139" s="75">
        <f t="shared" si="872"/>
        <v>0</v>
      </c>
      <c r="BI139" s="78">
        <f t="shared" ref="BI139" si="1041">AVERAGE(BH139:BH140)</f>
        <v>0</v>
      </c>
      <c r="BJ139" s="230">
        <v>93</v>
      </c>
      <c r="BK139" s="93"/>
    </row>
    <row r="140" spans="1:63" ht="15" customHeight="1">
      <c r="A140" s="81"/>
      <c r="B140" s="82"/>
      <c r="C140" s="234"/>
      <c r="D140" s="84"/>
      <c r="E140" s="85">
        <v>-4</v>
      </c>
      <c r="F140" s="59"/>
      <c r="G140" s="287"/>
      <c r="H140" s="54" t="s">
        <v>10</v>
      </c>
      <c r="I140" s="225">
        <v>25.64</v>
      </c>
      <c r="J140" s="73"/>
      <c r="K140" s="86">
        <v>25.67</v>
      </c>
      <c r="L140" s="58">
        <f t="shared" si="589"/>
        <v>3.0000000000001137E-2</v>
      </c>
      <c r="M140" s="59"/>
      <c r="N140" s="86">
        <v>25.69</v>
      </c>
      <c r="O140" s="60">
        <f t="shared" si="591"/>
        <v>1.9999999999999574E-2</v>
      </c>
      <c r="P140" s="226"/>
      <c r="Q140" s="86">
        <v>25.84</v>
      </c>
      <c r="R140" s="227">
        <f t="shared" si="593"/>
        <v>0.16999999999999815</v>
      </c>
      <c r="S140" s="59"/>
      <c r="T140" s="118">
        <v>26.03</v>
      </c>
      <c r="U140" s="60">
        <f t="shared" si="853"/>
        <v>0.35999999999999943</v>
      </c>
      <c r="V140" s="56"/>
      <c r="W140" s="118">
        <v>26.21</v>
      </c>
      <c r="X140" s="61">
        <f t="shared" si="854"/>
        <v>0.53999999999999915</v>
      </c>
      <c r="Y140" s="59"/>
      <c r="Z140" s="61">
        <f t="shared" si="855"/>
        <v>0.37000000000000099</v>
      </c>
      <c r="AA140" s="59"/>
      <c r="AB140" s="71">
        <v>2890</v>
      </c>
      <c r="AC140" s="66"/>
      <c r="AD140" s="87">
        <v>3246</v>
      </c>
      <c r="AE140" s="87">
        <v>2976</v>
      </c>
      <c r="AF140" s="71">
        <f t="shared" si="858"/>
        <v>-270</v>
      </c>
      <c r="AG140" s="66"/>
      <c r="AH140" s="87">
        <v>3194</v>
      </c>
      <c r="AI140" s="71">
        <f t="shared" si="860"/>
        <v>-52</v>
      </c>
      <c r="AJ140" s="100"/>
      <c r="AK140" s="88">
        <v>11</v>
      </c>
      <c r="AL140" s="78"/>
      <c r="AM140" s="89">
        <v>7</v>
      </c>
      <c r="AN140" s="89">
        <v>12</v>
      </c>
      <c r="AO140" s="214">
        <f t="shared" si="862"/>
        <v>5</v>
      </c>
      <c r="AP140" s="78"/>
      <c r="AQ140" s="89">
        <v>11.5</v>
      </c>
      <c r="AR140" s="63">
        <f t="shared" si="864"/>
        <v>4.5</v>
      </c>
      <c r="AS140" s="59"/>
      <c r="AT140" s="235">
        <v>0.3979400086720376</v>
      </c>
      <c r="AU140" s="59"/>
      <c r="AV140" s="236">
        <v>0</v>
      </c>
      <c r="AW140" s="237">
        <v>0</v>
      </c>
      <c r="AX140" s="75">
        <f t="shared" si="866"/>
        <v>0</v>
      </c>
      <c r="AY140" s="59"/>
      <c r="AZ140" s="242">
        <v>4.5757490560675143E-2</v>
      </c>
      <c r="BA140" s="71">
        <f t="shared" si="868"/>
        <v>4.5757490560675143E-2</v>
      </c>
      <c r="BB140" s="59"/>
      <c r="BC140" s="229">
        <v>4.5757490560675143E-2</v>
      </c>
      <c r="BD140" s="91">
        <v>0</v>
      </c>
      <c r="BE140" s="75">
        <f t="shared" si="870"/>
        <v>-4.5757490560675143E-2</v>
      </c>
      <c r="BF140" s="59"/>
      <c r="BG140" s="228">
        <v>4.5757490560675143E-2</v>
      </c>
      <c r="BH140" s="75">
        <f t="shared" si="872"/>
        <v>0</v>
      </c>
      <c r="BI140" s="78"/>
      <c r="BJ140" s="230"/>
      <c r="BK140" s="93"/>
    </row>
    <row r="141" spans="1:63" ht="15" customHeight="1">
      <c r="A141" s="247">
        <v>29</v>
      </c>
      <c r="B141" s="82" t="s">
        <v>28</v>
      </c>
      <c r="C141" s="232">
        <v>12.432876712328767</v>
      </c>
      <c r="D141" s="97" t="s">
        <v>0</v>
      </c>
      <c r="E141" s="85">
        <v>-4.75</v>
      </c>
      <c r="F141" s="100">
        <f t="shared" ref="F141" si="1042">AVERAGE(E141:E142)</f>
        <v>-4.625</v>
      </c>
      <c r="G141" s="288">
        <v>42095</v>
      </c>
      <c r="H141" s="54" t="s">
        <v>9</v>
      </c>
      <c r="I141" s="225">
        <v>26.93</v>
      </c>
      <c r="J141" s="205">
        <f t="shared" ref="J141" si="1043">AVERAGE(I141:I142)</f>
        <v>26.85</v>
      </c>
      <c r="K141" s="86">
        <v>26.94</v>
      </c>
      <c r="L141" s="58">
        <f t="shared" si="589"/>
        <v>1.0000000000001563E-2</v>
      </c>
      <c r="M141" s="100">
        <v>0</v>
      </c>
      <c r="N141" s="86">
        <v>26.95</v>
      </c>
      <c r="O141" s="60">
        <f t="shared" si="591"/>
        <v>9.9999999999980105E-3</v>
      </c>
      <c r="P141" s="233">
        <f t="shared" ref="P141" si="1044">AVERAGE(O141:O142)</f>
        <v>2.4999999999998579E-2</v>
      </c>
      <c r="Q141" s="86">
        <v>26.94</v>
      </c>
      <c r="R141" s="227">
        <f t="shared" si="593"/>
        <v>0</v>
      </c>
      <c r="S141" s="59">
        <f t="shared" ref="S141:S145" si="1045">AVERAGE(R141:R142)</f>
        <v>2.9999999999999361E-2</v>
      </c>
      <c r="T141" s="104">
        <v>26.98</v>
      </c>
      <c r="U141" s="60">
        <f t="shared" si="853"/>
        <v>3.9999999999999147E-2</v>
      </c>
      <c r="V141" s="56">
        <f t="shared" si="595"/>
        <v>5.9999999999998721E-2</v>
      </c>
      <c r="W141" s="104">
        <v>26.99</v>
      </c>
      <c r="X141" s="61">
        <f t="shared" si="854"/>
        <v>4.9999999999997158E-2</v>
      </c>
      <c r="Y141" s="59">
        <f t="shared" ref="Y141" si="1046">AVERAGE(X141:X142)</f>
        <v>7.9999999999998295E-2</v>
      </c>
      <c r="Z141" s="61">
        <f t="shared" si="855"/>
        <v>4.9999999999997158E-2</v>
      </c>
      <c r="AA141" s="59">
        <f t="shared" ref="AA141" si="1047">AVERAGE(Z141:Z142)</f>
        <v>4.9999999999998934E-2</v>
      </c>
      <c r="AB141" s="71">
        <v>3496</v>
      </c>
      <c r="AC141" s="99">
        <f t="shared" ref="AC141" si="1048">AVERAGE(AB141:AB142)</f>
        <v>3267.5</v>
      </c>
      <c r="AD141" s="87">
        <v>3144</v>
      </c>
      <c r="AE141" s="87">
        <v>3367</v>
      </c>
      <c r="AF141" s="71">
        <f t="shared" si="858"/>
        <v>223</v>
      </c>
      <c r="AG141" s="99">
        <f t="shared" ref="AG141" si="1049">AVERAGE(AF141:AF142)</f>
        <v>-0.5</v>
      </c>
      <c r="AH141" s="87">
        <v>3333</v>
      </c>
      <c r="AI141" s="71">
        <f t="shared" si="860"/>
        <v>189</v>
      </c>
      <c r="AJ141" s="98">
        <f t="shared" ref="AJ141" si="1050">AVERAGE(AI141:AI142)</f>
        <v>14.5</v>
      </c>
      <c r="AK141" s="88">
        <v>20.3</v>
      </c>
      <c r="AL141" s="78">
        <f t="shared" si="746"/>
        <v>19.649999999999999</v>
      </c>
      <c r="AM141" s="89">
        <v>16</v>
      </c>
      <c r="AN141" s="89">
        <v>15.7</v>
      </c>
      <c r="AO141" s="214">
        <f t="shared" si="862"/>
        <v>-0.30000000000000071</v>
      </c>
      <c r="AP141" s="78">
        <f t="shared" ref="AP141" si="1051">AVERAGE(AO141:AO142)</f>
        <v>9.9999999999999645E-2</v>
      </c>
      <c r="AQ141" s="89">
        <v>18</v>
      </c>
      <c r="AR141" s="63">
        <f t="shared" si="864"/>
        <v>2</v>
      </c>
      <c r="AS141" s="59">
        <f t="shared" ref="AS141" si="1052">AVERAGE(AR141:AR142)</f>
        <v>2.5</v>
      </c>
      <c r="AT141" s="215">
        <v>0.82390874094431876</v>
      </c>
      <c r="AU141" s="59">
        <v>0.76143937264016881</v>
      </c>
      <c r="AV141" s="216">
        <v>0</v>
      </c>
      <c r="AW141" s="217">
        <v>0</v>
      </c>
      <c r="AX141" s="75">
        <f t="shared" si="866"/>
        <v>0</v>
      </c>
      <c r="AY141" s="59">
        <f t="shared" ref="AY141" si="1053">AVERAGE(AX141:AX142)</f>
        <v>-3.9590623023812402E-2</v>
      </c>
      <c r="AZ141" s="241">
        <v>-7.9181246047624804E-2</v>
      </c>
      <c r="BA141" s="71">
        <f t="shared" si="868"/>
        <v>-7.9181246047624804E-2</v>
      </c>
      <c r="BB141" s="59">
        <f t="shared" ref="BB141" si="1054">AVERAGE(BA141:BA142)</f>
        <v>-3.9590623023812402E-2</v>
      </c>
      <c r="BC141" s="229">
        <v>-7.9181246047624804E-2</v>
      </c>
      <c r="BD141" s="91">
        <v>-7.9181246047624804E-2</v>
      </c>
      <c r="BE141" s="75">
        <f t="shared" si="870"/>
        <v>0</v>
      </c>
      <c r="BF141" s="59">
        <f t="shared" ref="BF141" si="1055">AVERAGE(BE141:BE142)</f>
        <v>0</v>
      </c>
      <c r="BG141" s="228">
        <v>0</v>
      </c>
      <c r="BH141" s="75">
        <f t="shared" si="872"/>
        <v>7.9181246047624804E-2</v>
      </c>
      <c r="BI141" s="78">
        <f t="shared" ref="BI141" si="1056">AVERAGE(BH141:BH142)</f>
        <v>7.9181246047624804E-2</v>
      </c>
      <c r="BJ141" s="230">
        <v>100</v>
      </c>
      <c r="BK141" s="93"/>
    </row>
    <row r="142" spans="1:63" ht="15" customHeight="1">
      <c r="A142" s="81"/>
      <c r="B142" s="82"/>
      <c r="C142" s="234"/>
      <c r="D142" s="84"/>
      <c r="E142" s="85">
        <v>-4.5</v>
      </c>
      <c r="F142" s="59"/>
      <c r="G142" s="287"/>
      <c r="H142" s="54" t="s">
        <v>10</v>
      </c>
      <c r="I142" s="225">
        <v>26.77</v>
      </c>
      <c r="J142" s="73"/>
      <c r="K142" s="86">
        <v>26.76</v>
      </c>
      <c r="L142" s="58">
        <f t="shared" si="589"/>
        <v>-9.9999999999980105E-3</v>
      </c>
      <c r="M142" s="59"/>
      <c r="N142" s="86">
        <v>26.8</v>
      </c>
      <c r="O142" s="60">
        <f t="shared" si="591"/>
        <v>3.9999999999999147E-2</v>
      </c>
      <c r="P142" s="226"/>
      <c r="Q142" s="86">
        <v>26.82</v>
      </c>
      <c r="R142" s="227">
        <f t="shared" si="593"/>
        <v>5.9999999999998721E-2</v>
      </c>
      <c r="S142" s="59"/>
      <c r="T142" s="86">
        <v>26.84</v>
      </c>
      <c r="U142" s="60">
        <f t="shared" si="853"/>
        <v>7.9999999999998295E-2</v>
      </c>
      <c r="V142" s="56"/>
      <c r="W142" s="86">
        <v>26.87</v>
      </c>
      <c r="X142" s="61">
        <f t="shared" si="854"/>
        <v>0.10999999999999943</v>
      </c>
      <c r="Y142" s="59"/>
      <c r="Z142" s="61">
        <f t="shared" si="855"/>
        <v>5.0000000000000711E-2</v>
      </c>
      <c r="AA142" s="59"/>
      <c r="AB142" s="71">
        <v>3039</v>
      </c>
      <c r="AC142" s="66"/>
      <c r="AD142" s="87">
        <v>3236</v>
      </c>
      <c r="AE142" s="87">
        <v>3012</v>
      </c>
      <c r="AF142" s="71">
        <f t="shared" si="858"/>
        <v>-224</v>
      </c>
      <c r="AG142" s="66"/>
      <c r="AH142" s="87">
        <v>3076</v>
      </c>
      <c r="AI142" s="71">
        <f t="shared" si="860"/>
        <v>-160</v>
      </c>
      <c r="AJ142" s="100"/>
      <c r="AK142" s="88">
        <v>19</v>
      </c>
      <c r="AL142" s="78"/>
      <c r="AM142" s="89">
        <v>15</v>
      </c>
      <c r="AN142" s="89">
        <v>15.5</v>
      </c>
      <c r="AO142" s="214">
        <f t="shared" si="862"/>
        <v>0.5</v>
      </c>
      <c r="AP142" s="78"/>
      <c r="AQ142" s="89">
        <v>18</v>
      </c>
      <c r="AR142" s="63">
        <f t="shared" si="864"/>
        <v>3</v>
      </c>
      <c r="AS142" s="59"/>
      <c r="AT142" s="235">
        <v>0.69897000433601886</v>
      </c>
      <c r="AU142" s="59"/>
      <c r="AV142" s="236">
        <v>0</v>
      </c>
      <c r="AW142" s="237">
        <v>-7.9181246047624804E-2</v>
      </c>
      <c r="AX142" s="75">
        <f t="shared" si="866"/>
        <v>-7.9181246047624804E-2</v>
      </c>
      <c r="AY142" s="59"/>
      <c r="AZ142" s="242">
        <v>0</v>
      </c>
      <c r="BA142" s="71">
        <f t="shared" si="868"/>
        <v>0</v>
      </c>
      <c r="BB142" s="59"/>
      <c r="BC142" s="229">
        <v>-7.9181246047624804E-2</v>
      </c>
      <c r="BD142" s="91">
        <v>-7.9181246047624804E-2</v>
      </c>
      <c r="BE142" s="75">
        <f t="shared" si="870"/>
        <v>0</v>
      </c>
      <c r="BF142" s="59"/>
      <c r="BG142" s="228">
        <v>0</v>
      </c>
      <c r="BH142" s="75">
        <f t="shared" si="872"/>
        <v>7.9181246047624804E-2</v>
      </c>
      <c r="BI142" s="78"/>
      <c r="BJ142" s="230"/>
      <c r="BK142" s="93"/>
    </row>
    <row r="143" spans="1:63" ht="15" customHeight="1">
      <c r="A143" s="231">
        <v>30</v>
      </c>
      <c r="B143" s="82" t="s">
        <v>28</v>
      </c>
      <c r="C143" s="232">
        <v>12.830136986301369</v>
      </c>
      <c r="D143" s="97" t="s">
        <v>1</v>
      </c>
      <c r="E143" s="85">
        <v>-3.75</v>
      </c>
      <c r="F143" s="100">
        <f t="shared" ref="F143" si="1057">AVERAGE(E143:E144)</f>
        <v>-3.5</v>
      </c>
      <c r="G143" s="288">
        <v>42212</v>
      </c>
      <c r="H143" s="54" t="s">
        <v>9</v>
      </c>
      <c r="I143" s="225">
        <v>24.71</v>
      </c>
      <c r="J143" s="205">
        <f t="shared" ref="J143" si="1058">AVERAGE(I143:I144)</f>
        <v>24.64</v>
      </c>
      <c r="K143" s="86">
        <v>24.7</v>
      </c>
      <c r="L143" s="58">
        <f t="shared" si="589"/>
        <v>-1.0000000000001563E-2</v>
      </c>
      <c r="M143" s="100">
        <f t="shared" ref="M143" si="1059">AVERAGE(L143:L144)</f>
        <v>-3.0000000000001137E-2</v>
      </c>
      <c r="N143" s="86">
        <v>24.71</v>
      </c>
      <c r="O143" s="60">
        <f t="shared" si="591"/>
        <v>1.0000000000001563E-2</v>
      </c>
      <c r="P143" s="253">
        <v>0</v>
      </c>
      <c r="Q143" s="86">
        <v>24.76</v>
      </c>
      <c r="R143" s="227">
        <f t="shared" si="593"/>
        <v>6.0000000000002274E-2</v>
      </c>
      <c r="S143" s="59">
        <f t="shared" si="1045"/>
        <v>5.0000000000000711E-2</v>
      </c>
      <c r="T143" s="86">
        <v>24.77</v>
      </c>
      <c r="U143" s="60">
        <f t="shared" si="853"/>
        <v>7.0000000000000284E-2</v>
      </c>
      <c r="V143" s="56">
        <f t="shared" si="595"/>
        <v>5.0000000000000711E-2</v>
      </c>
      <c r="W143" s="86">
        <v>24.87</v>
      </c>
      <c r="X143" s="61">
        <f t="shared" si="854"/>
        <v>0.17000000000000171</v>
      </c>
      <c r="Y143" s="59">
        <f t="shared" ref="Y143" si="1060">AVERAGE(X143:X144)</f>
        <v>0.15500000000000114</v>
      </c>
      <c r="Z143" s="61">
        <f t="shared" si="855"/>
        <v>0.10999999999999943</v>
      </c>
      <c r="AA143" s="59">
        <f t="shared" ref="AA143" si="1061">AVERAGE(Z143:Z144)</f>
        <v>0.10500000000000043</v>
      </c>
      <c r="AB143" s="71">
        <v>3558</v>
      </c>
      <c r="AC143" s="99">
        <f t="shared" ref="AC143" si="1062">AVERAGE(AB143:AB144)</f>
        <v>3366</v>
      </c>
      <c r="AD143" s="87">
        <v>3333</v>
      </c>
      <c r="AE143" s="87">
        <v>3846</v>
      </c>
      <c r="AF143" s="71">
        <f t="shared" si="858"/>
        <v>513</v>
      </c>
      <c r="AG143" s="99">
        <f t="shared" ref="AG143" si="1063">AVERAGE(AF143:AF144)</f>
        <v>268.5</v>
      </c>
      <c r="AH143" s="87">
        <v>3745</v>
      </c>
      <c r="AI143" s="71">
        <f t="shared" si="860"/>
        <v>412</v>
      </c>
      <c r="AJ143" s="98">
        <f t="shared" ref="AJ143" si="1064">AVERAGE(AI143:AI144)</f>
        <v>56</v>
      </c>
      <c r="AK143" s="88">
        <v>15.5</v>
      </c>
      <c r="AL143" s="78">
        <f t="shared" si="746"/>
        <v>15.5</v>
      </c>
      <c r="AM143" s="89">
        <v>14.5</v>
      </c>
      <c r="AN143" s="89">
        <v>14</v>
      </c>
      <c r="AO143" s="214">
        <f t="shared" si="862"/>
        <v>-0.5</v>
      </c>
      <c r="AP143" s="78">
        <f t="shared" ref="AP143" si="1065">AVERAGE(AO143:AO144)</f>
        <v>0.5</v>
      </c>
      <c r="AQ143" s="89">
        <v>12.5</v>
      </c>
      <c r="AR143" s="63">
        <f t="shared" si="864"/>
        <v>-2</v>
      </c>
      <c r="AS143" s="59">
        <f t="shared" ref="AS143" si="1066">AVERAGE(AR143:AR144)</f>
        <v>-2.25</v>
      </c>
      <c r="AT143" s="215">
        <v>1.1549019599857431</v>
      </c>
      <c r="AU143" s="59">
        <v>1.1259059864968997</v>
      </c>
      <c r="AV143" s="216">
        <v>-7.9181246047624804E-2</v>
      </c>
      <c r="AW143" s="217">
        <v>-7.9181246047624804E-2</v>
      </c>
      <c r="AX143" s="75">
        <f t="shared" si="866"/>
        <v>0</v>
      </c>
      <c r="AY143" s="59">
        <f t="shared" ref="AY143" si="1067">AVERAGE(AX143:AX144)</f>
        <v>0</v>
      </c>
      <c r="AZ143" s="241">
        <v>-7.9181246047624804E-2</v>
      </c>
      <c r="BA143" s="71">
        <f t="shared" si="868"/>
        <v>0</v>
      </c>
      <c r="BB143" s="59">
        <f t="shared" ref="BB143" si="1068">AVERAGE(BA143:BA144)</f>
        <v>8.8045629527840619E-2</v>
      </c>
      <c r="BC143" s="229">
        <v>-7.9181246047624804E-2</v>
      </c>
      <c r="BD143" s="91">
        <v>0</v>
      </c>
      <c r="BE143" s="75">
        <f t="shared" si="870"/>
        <v>7.9181246047624804E-2</v>
      </c>
      <c r="BF143" s="59">
        <f t="shared" ref="BF143" si="1069">AVERAGE(BE143:BE144)</f>
        <v>7.9181246047624804E-2</v>
      </c>
      <c r="BG143" s="228">
        <v>0</v>
      </c>
      <c r="BH143" s="75">
        <f t="shared" si="872"/>
        <v>7.9181246047624804E-2</v>
      </c>
      <c r="BI143" s="78">
        <f t="shared" ref="BI143" si="1070">AVERAGE(BH143:BH144)</f>
        <v>0.10205999132796237</v>
      </c>
      <c r="BJ143" s="230">
        <v>100</v>
      </c>
      <c r="BK143" s="93"/>
    </row>
    <row r="144" spans="1:63" ht="15" customHeight="1">
      <c r="A144" s="224"/>
      <c r="B144" s="82"/>
      <c r="C144" s="234"/>
      <c r="D144" s="84"/>
      <c r="E144" s="85">
        <v>-3.25</v>
      </c>
      <c r="F144" s="59"/>
      <c r="G144" s="287"/>
      <c r="H144" s="54" t="s">
        <v>10</v>
      </c>
      <c r="I144" s="225">
        <v>24.57</v>
      </c>
      <c r="J144" s="73"/>
      <c r="K144" s="86">
        <v>24.52</v>
      </c>
      <c r="L144" s="58">
        <f t="shared" si="589"/>
        <v>-5.0000000000000711E-2</v>
      </c>
      <c r="M144" s="59"/>
      <c r="N144" s="86">
        <v>24.51</v>
      </c>
      <c r="O144" s="60">
        <f t="shared" si="591"/>
        <v>-9.9999999999980105E-3</v>
      </c>
      <c r="P144" s="226"/>
      <c r="Q144" s="86">
        <v>24.56</v>
      </c>
      <c r="R144" s="227">
        <f t="shared" si="593"/>
        <v>3.9999999999999147E-2</v>
      </c>
      <c r="S144" s="59"/>
      <c r="T144" s="86">
        <v>24.55</v>
      </c>
      <c r="U144" s="60">
        <f t="shared" si="853"/>
        <v>3.0000000000001137E-2</v>
      </c>
      <c r="V144" s="56"/>
      <c r="W144" s="86">
        <v>24.66</v>
      </c>
      <c r="X144" s="61">
        <f t="shared" si="854"/>
        <v>0.14000000000000057</v>
      </c>
      <c r="Y144" s="59"/>
      <c r="Z144" s="61">
        <f t="shared" si="855"/>
        <v>0.10000000000000142</v>
      </c>
      <c r="AA144" s="59"/>
      <c r="AB144" s="71">
        <v>3174</v>
      </c>
      <c r="AC144" s="66"/>
      <c r="AD144" s="87">
        <v>3484</v>
      </c>
      <c r="AE144" s="87">
        <v>3508</v>
      </c>
      <c r="AF144" s="71">
        <f t="shared" si="858"/>
        <v>24</v>
      </c>
      <c r="AG144" s="66"/>
      <c r="AH144" s="87">
        <v>3184</v>
      </c>
      <c r="AI144" s="71">
        <f t="shared" si="860"/>
        <v>-300</v>
      </c>
      <c r="AJ144" s="100"/>
      <c r="AK144" s="88">
        <v>15.5</v>
      </c>
      <c r="AL144" s="78"/>
      <c r="AM144" s="89">
        <v>14.5</v>
      </c>
      <c r="AN144" s="89">
        <v>16</v>
      </c>
      <c r="AO144" s="214">
        <f t="shared" si="862"/>
        <v>1.5</v>
      </c>
      <c r="AP144" s="78"/>
      <c r="AQ144" s="89">
        <v>12</v>
      </c>
      <c r="AR144" s="63">
        <f t="shared" si="864"/>
        <v>-2.5</v>
      </c>
      <c r="AS144" s="59"/>
      <c r="AT144" s="235">
        <v>1.0969100130080565</v>
      </c>
      <c r="AU144" s="59"/>
      <c r="AV144" s="236">
        <v>-7.9181246047624804E-2</v>
      </c>
      <c r="AW144" s="237">
        <v>-7.9181246047624804E-2</v>
      </c>
      <c r="AX144" s="75">
        <f t="shared" si="866"/>
        <v>0</v>
      </c>
      <c r="AY144" s="59"/>
      <c r="AZ144" s="242">
        <v>9.691001300805642E-2</v>
      </c>
      <c r="BA144" s="71">
        <f t="shared" si="868"/>
        <v>0.17609125905568124</v>
      </c>
      <c r="BB144" s="59"/>
      <c r="BC144" s="229">
        <v>-7.9181246047624804E-2</v>
      </c>
      <c r="BD144" s="91">
        <v>0</v>
      </c>
      <c r="BE144" s="75">
        <f t="shared" si="870"/>
        <v>7.9181246047624804E-2</v>
      </c>
      <c r="BF144" s="59"/>
      <c r="BG144" s="228">
        <v>4.5757490560675143E-2</v>
      </c>
      <c r="BH144" s="75">
        <f t="shared" si="872"/>
        <v>0.12493873660829995</v>
      </c>
      <c r="BI144" s="78"/>
      <c r="BJ144" s="230"/>
      <c r="BK144" s="93"/>
    </row>
    <row r="145" spans="1:63" ht="15" customHeight="1">
      <c r="A145" s="231">
        <v>31</v>
      </c>
      <c r="B145" s="82" t="s">
        <v>28</v>
      </c>
      <c r="C145" s="232">
        <v>12.6</v>
      </c>
      <c r="D145" s="97" t="s">
        <v>2</v>
      </c>
      <c r="E145" s="85">
        <v>-3.5</v>
      </c>
      <c r="F145" s="100">
        <f t="shared" ref="F145" si="1071">AVERAGE(E145:E146)</f>
        <v>-3.5</v>
      </c>
      <c r="G145" s="272">
        <v>42219</v>
      </c>
      <c r="H145" s="54" t="s">
        <v>9</v>
      </c>
      <c r="I145" s="225">
        <v>26.27</v>
      </c>
      <c r="J145" s="205">
        <f t="shared" ref="J145" si="1072">AVERAGE(I145:I146)</f>
        <v>26.265000000000001</v>
      </c>
      <c r="K145" s="86">
        <v>26.25</v>
      </c>
      <c r="L145" s="58">
        <f t="shared" si="589"/>
        <v>-1.9999999999999574E-2</v>
      </c>
      <c r="M145" s="100">
        <f t="shared" ref="M145:M147" si="1073">AVERAGE(L145:L146)</f>
        <v>-0.14000000000000057</v>
      </c>
      <c r="N145" s="86">
        <v>26.35</v>
      </c>
      <c r="O145" s="60">
        <f t="shared" si="591"/>
        <v>0.10000000000000142</v>
      </c>
      <c r="P145" s="233">
        <f t="shared" ref="P145" si="1074">AVERAGE(O145:O146)</f>
        <v>0.19500000000000028</v>
      </c>
      <c r="Q145" s="86">
        <v>26.38</v>
      </c>
      <c r="R145" s="227">
        <f t="shared" si="593"/>
        <v>0.12999999999999901</v>
      </c>
      <c r="S145" s="59">
        <f t="shared" si="1045"/>
        <v>0.22499999999999964</v>
      </c>
      <c r="T145" s="86">
        <v>26.41</v>
      </c>
      <c r="U145" s="60">
        <f t="shared" si="853"/>
        <v>0.16000000000000014</v>
      </c>
      <c r="V145" s="56">
        <f t="shared" si="595"/>
        <v>0.25999999999999979</v>
      </c>
      <c r="W145" s="86">
        <v>26.43</v>
      </c>
      <c r="X145" s="61">
        <f t="shared" si="854"/>
        <v>0.17999999999999972</v>
      </c>
      <c r="Y145" s="59">
        <f t="shared" ref="Y145:Y151" si="1075">AVERAGE(X145:X146)</f>
        <v>0.27999999999999936</v>
      </c>
      <c r="Z145" s="61">
        <f t="shared" si="855"/>
        <v>5.0000000000000711E-2</v>
      </c>
      <c r="AA145" s="59">
        <f t="shared" ref="AA145" si="1076">AVERAGE(Z145:Z146)</f>
        <v>5.4999999999999716E-2</v>
      </c>
      <c r="AB145" s="71">
        <v>2857</v>
      </c>
      <c r="AC145" s="99">
        <f t="shared" ref="AC145" si="1077">AVERAGE(AB145:AB146)</f>
        <v>2991</v>
      </c>
      <c r="AD145" s="87">
        <v>2801</v>
      </c>
      <c r="AE145" s="87">
        <v>2590</v>
      </c>
      <c r="AF145" s="71">
        <f t="shared" si="858"/>
        <v>-211</v>
      </c>
      <c r="AG145" s="99">
        <f t="shared" ref="AG145" si="1078">AVERAGE(AF145:AF146)</f>
        <v>-190</v>
      </c>
      <c r="AH145" s="87">
        <v>2638</v>
      </c>
      <c r="AI145" s="71">
        <f t="shared" si="860"/>
        <v>-163</v>
      </c>
      <c r="AJ145" s="98">
        <f t="shared" ref="AJ145" si="1079">AVERAGE(AI145:AI146)</f>
        <v>-238</v>
      </c>
      <c r="AK145" s="88">
        <v>20</v>
      </c>
      <c r="AL145" s="78">
        <f t="shared" si="746"/>
        <v>17.5</v>
      </c>
      <c r="AM145" s="89">
        <v>12</v>
      </c>
      <c r="AN145" s="89">
        <v>13.5</v>
      </c>
      <c r="AO145" s="214">
        <f t="shared" si="862"/>
        <v>1.5</v>
      </c>
      <c r="AP145" s="78">
        <f t="shared" ref="AP145" si="1080">AVERAGE(AO145:AO146)</f>
        <v>1.0999999999999996</v>
      </c>
      <c r="AQ145" s="89">
        <v>12</v>
      </c>
      <c r="AR145" s="63">
        <f t="shared" si="864"/>
        <v>0</v>
      </c>
      <c r="AS145" s="59">
        <f t="shared" ref="AS145" si="1081">AVERAGE(AR145:AR146)</f>
        <v>2.75</v>
      </c>
      <c r="AT145" s="215">
        <v>0.82390874094431876</v>
      </c>
      <c r="AU145" s="59">
        <v>0.93483311575249695</v>
      </c>
      <c r="AV145" s="216">
        <v>-7.9181246047624804E-2</v>
      </c>
      <c r="AW145" s="217">
        <v>0.15490195998574319</v>
      </c>
      <c r="AX145" s="75">
        <f t="shared" si="866"/>
        <v>0.23408320603336799</v>
      </c>
      <c r="AY145" s="59">
        <f t="shared" ref="AY145" si="1082">AVERAGE(AX145:AX146)</f>
        <v>0.1566322260404964</v>
      </c>
      <c r="AZ145" s="241">
        <v>-7.9181246047624804E-2</v>
      </c>
      <c r="BA145" s="71">
        <f t="shared" si="868"/>
        <v>0</v>
      </c>
      <c r="BB145" s="59">
        <f t="shared" ref="BB145" si="1083">AVERAGE(BA145:BA146)</f>
        <v>6.2469368304149973E-2</v>
      </c>
      <c r="BC145" s="229">
        <v>0</v>
      </c>
      <c r="BD145" s="91">
        <v>0</v>
      </c>
      <c r="BE145" s="75">
        <f t="shared" si="870"/>
        <v>0</v>
      </c>
      <c r="BF145" s="59">
        <f t="shared" ref="BF145" si="1084">AVERAGE(BE145:BE146)</f>
        <v>2.2878745280337572E-2</v>
      </c>
      <c r="BG145" s="228">
        <v>0</v>
      </c>
      <c r="BH145" s="75">
        <f t="shared" si="872"/>
        <v>0</v>
      </c>
      <c r="BI145" s="78">
        <f t="shared" ref="BI145" si="1085">AVERAGE(BH145:BH146)</f>
        <v>0</v>
      </c>
      <c r="BJ145" s="230">
        <v>100</v>
      </c>
      <c r="BK145" s="93"/>
    </row>
    <row r="146" spans="1:63" ht="15" customHeight="1">
      <c r="A146" s="224"/>
      <c r="B146" s="82"/>
      <c r="C146" s="234"/>
      <c r="D146" s="84"/>
      <c r="E146" s="85">
        <v>-3.5</v>
      </c>
      <c r="F146" s="59"/>
      <c r="G146" s="271"/>
      <c r="H146" s="54" t="s">
        <v>10</v>
      </c>
      <c r="I146" s="225">
        <v>26.26</v>
      </c>
      <c r="J146" s="73"/>
      <c r="K146" s="86">
        <v>26</v>
      </c>
      <c r="L146" s="58">
        <f t="shared" si="589"/>
        <v>-0.26000000000000156</v>
      </c>
      <c r="M146" s="59"/>
      <c r="N146" s="86">
        <v>26.29</v>
      </c>
      <c r="O146" s="60">
        <f t="shared" si="591"/>
        <v>0.28999999999999915</v>
      </c>
      <c r="P146" s="226"/>
      <c r="Q146" s="86">
        <v>26.32</v>
      </c>
      <c r="R146" s="227">
        <f t="shared" si="593"/>
        <v>0.32000000000000028</v>
      </c>
      <c r="S146" s="59"/>
      <c r="T146" s="86">
        <v>26.36</v>
      </c>
      <c r="U146" s="60">
        <f t="shared" si="853"/>
        <v>0.35999999999999943</v>
      </c>
      <c r="V146" s="56"/>
      <c r="W146" s="86">
        <v>26.38</v>
      </c>
      <c r="X146" s="61">
        <f t="shared" si="854"/>
        <v>0.37999999999999901</v>
      </c>
      <c r="Y146" s="59"/>
      <c r="Z146" s="61">
        <f t="shared" si="855"/>
        <v>5.9999999999998721E-2</v>
      </c>
      <c r="AA146" s="59"/>
      <c r="AB146" s="71">
        <v>3125</v>
      </c>
      <c r="AC146" s="66"/>
      <c r="AD146" s="87">
        <v>3067</v>
      </c>
      <c r="AE146" s="87">
        <v>2898</v>
      </c>
      <c r="AF146" s="71">
        <f t="shared" si="858"/>
        <v>-169</v>
      </c>
      <c r="AG146" s="66"/>
      <c r="AH146" s="87">
        <v>2754</v>
      </c>
      <c r="AI146" s="71">
        <f t="shared" si="860"/>
        <v>-313</v>
      </c>
      <c r="AJ146" s="100"/>
      <c r="AK146" s="88">
        <v>15</v>
      </c>
      <c r="AL146" s="78"/>
      <c r="AM146" s="89">
        <v>12</v>
      </c>
      <c r="AN146" s="89">
        <v>12.7</v>
      </c>
      <c r="AO146" s="214">
        <f t="shared" si="862"/>
        <v>0.69999999999999929</v>
      </c>
      <c r="AP146" s="78"/>
      <c r="AQ146" s="89">
        <v>17.5</v>
      </c>
      <c r="AR146" s="63">
        <f t="shared" si="864"/>
        <v>5.5</v>
      </c>
      <c r="AS146" s="59"/>
      <c r="AT146" s="235">
        <v>1.045757490560675</v>
      </c>
      <c r="AU146" s="59"/>
      <c r="AV146" s="236">
        <v>-7.9181246047624804E-2</v>
      </c>
      <c r="AW146" s="237">
        <v>0</v>
      </c>
      <c r="AX146" s="75">
        <f t="shared" si="866"/>
        <v>7.9181246047624804E-2</v>
      </c>
      <c r="AY146" s="59"/>
      <c r="AZ146" s="242">
        <v>4.5757490560675143E-2</v>
      </c>
      <c r="BA146" s="71">
        <f t="shared" si="868"/>
        <v>0.12493873660829995</v>
      </c>
      <c r="BB146" s="59"/>
      <c r="BC146" s="229">
        <v>0</v>
      </c>
      <c r="BD146" s="91">
        <v>4.5757490560675143E-2</v>
      </c>
      <c r="BE146" s="75">
        <f t="shared" si="870"/>
        <v>4.5757490560675143E-2</v>
      </c>
      <c r="BF146" s="59"/>
      <c r="BG146" s="228">
        <v>0</v>
      </c>
      <c r="BH146" s="75">
        <f t="shared" si="872"/>
        <v>0</v>
      </c>
      <c r="BI146" s="78"/>
      <c r="BJ146" s="230"/>
      <c r="BK146" s="93"/>
    </row>
    <row r="147" spans="1:63" ht="15" customHeight="1">
      <c r="A147" s="247">
        <v>32</v>
      </c>
      <c r="B147" s="82" t="s">
        <v>28</v>
      </c>
      <c r="C147" s="232">
        <v>11.167123287671233</v>
      </c>
      <c r="D147" s="97" t="s">
        <v>0</v>
      </c>
      <c r="E147" s="85">
        <v>-5</v>
      </c>
      <c r="F147" s="100">
        <f>AVERAGE(E147:E148)</f>
        <v>-4.75</v>
      </c>
      <c r="G147" s="288">
        <v>42329</v>
      </c>
      <c r="H147" s="54" t="s">
        <v>9</v>
      </c>
      <c r="I147" s="225">
        <v>25.89</v>
      </c>
      <c r="J147" s="205">
        <f t="shared" ref="J147:J149" si="1086">AVERAGE(I147:I148)</f>
        <v>25.880000000000003</v>
      </c>
      <c r="K147" s="86">
        <v>25.92</v>
      </c>
      <c r="L147" s="58">
        <f t="shared" si="589"/>
        <v>3.0000000000001137E-2</v>
      </c>
      <c r="M147" s="100">
        <f t="shared" si="1073"/>
        <v>9.9999999999997868E-3</v>
      </c>
      <c r="N147" s="86">
        <v>25.89</v>
      </c>
      <c r="O147" s="60">
        <f t="shared" si="591"/>
        <v>-3.0000000000001137E-2</v>
      </c>
      <c r="P147" s="233">
        <f t="shared" ref="P147" si="1087">AVERAGE(O147:O148)</f>
        <v>-3.5000000000000142E-2</v>
      </c>
      <c r="Q147" s="86">
        <v>26.05</v>
      </c>
      <c r="R147" s="227">
        <f t="shared" si="593"/>
        <v>0.12999999999999901</v>
      </c>
      <c r="S147" s="59">
        <f t="shared" ref="S147" si="1088">AVERAGE(R147:R148)</f>
        <v>4.4999999999999929E-2</v>
      </c>
      <c r="T147" s="104">
        <v>26</v>
      </c>
      <c r="U147" s="60">
        <f t="shared" si="853"/>
        <v>7.9999999999998295E-2</v>
      </c>
      <c r="V147" s="56">
        <f t="shared" ref="V147" si="1089">AVERAGE(U147:U148)</f>
        <v>4.9999999999990052E-3</v>
      </c>
      <c r="W147" s="104">
        <v>26.13</v>
      </c>
      <c r="X147" s="61">
        <f t="shared" si="854"/>
        <v>0.2099999999999973</v>
      </c>
      <c r="Y147" s="59">
        <f t="shared" ref="Y147" si="1090">AVERAGE(X147:X148)</f>
        <v>0.16499999999999915</v>
      </c>
      <c r="Z147" s="61">
        <f t="shared" si="855"/>
        <v>7.9999999999998295E-2</v>
      </c>
      <c r="AA147" s="59">
        <f t="shared" ref="AA147" si="1091">AVERAGE(Z147:Z148)</f>
        <v>0.11999999999999922</v>
      </c>
      <c r="AB147" s="71">
        <v>3802</v>
      </c>
      <c r="AC147" s="99">
        <f t="shared" ref="AC147" si="1092">AVERAGE(AB147:AB148)</f>
        <v>3551</v>
      </c>
      <c r="AD147" s="87">
        <v>3257</v>
      </c>
      <c r="AE147" s="87">
        <v>3816</v>
      </c>
      <c r="AF147" s="71">
        <f t="shared" si="858"/>
        <v>559</v>
      </c>
      <c r="AG147" s="99">
        <f t="shared" ref="AG147" si="1093">AVERAGE(AF147:AF148)</f>
        <v>359</v>
      </c>
      <c r="AH147" s="87">
        <v>3521</v>
      </c>
      <c r="AI147" s="71">
        <f t="shared" si="860"/>
        <v>264</v>
      </c>
      <c r="AJ147" s="98">
        <f t="shared" ref="AJ147" si="1094">AVERAGE(AI147:AI148)</f>
        <v>260.5</v>
      </c>
      <c r="AK147" s="88">
        <v>13</v>
      </c>
      <c r="AL147" s="78">
        <f t="shared" si="746"/>
        <v>12.5</v>
      </c>
      <c r="AM147" s="89">
        <v>13</v>
      </c>
      <c r="AN147" s="89">
        <v>11.5</v>
      </c>
      <c r="AO147" s="214">
        <f t="shared" si="862"/>
        <v>-1.5</v>
      </c>
      <c r="AP147" s="78">
        <f t="shared" ref="AP147" si="1095">AVERAGE(AO147:AO148)</f>
        <v>-0.75</v>
      </c>
      <c r="AQ147" s="89">
        <v>10.3</v>
      </c>
      <c r="AR147" s="63">
        <f t="shared" si="864"/>
        <v>-2.6999999999999993</v>
      </c>
      <c r="AS147" s="59">
        <f t="shared" ref="AS147" si="1096">AVERAGE(AR147:AR148)</f>
        <v>-2</v>
      </c>
      <c r="AT147" s="215">
        <v>1.1549019599857431</v>
      </c>
      <c r="AU147" s="59">
        <v>1.1549019599857431</v>
      </c>
      <c r="AV147" s="216">
        <v>0</v>
      </c>
      <c r="AW147" s="217">
        <v>0</v>
      </c>
      <c r="AX147" s="75">
        <f t="shared" si="866"/>
        <v>0</v>
      </c>
      <c r="AY147" s="59">
        <f t="shared" ref="AY147" si="1097">AVERAGE(AX147:AX148)</f>
        <v>0.1505149978319906</v>
      </c>
      <c r="AZ147" s="241">
        <v>-7.9181246047624804E-2</v>
      </c>
      <c r="BA147" s="71">
        <f t="shared" si="868"/>
        <v>-7.9181246047624804E-2</v>
      </c>
      <c r="BB147" s="59">
        <f t="shared" ref="BB147" si="1098">AVERAGE(BA147:BA148)</f>
        <v>-3.9590623023812402E-2</v>
      </c>
      <c r="BC147" s="229">
        <v>0</v>
      </c>
      <c r="BD147" s="91">
        <v>4.5757490560675143E-2</v>
      </c>
      <c r="BE147" s="75">
        <f t="shared" si="870"/>
        <v>4.5757490560675143E-2</v>
      </c>
      <c r="BF147" s="59">
        <f t="shared" ref="BF147" si="1099">AVERAGE(BE147:BE148)</f>
        <v>0.13380312008851578</v>
      </c>
      <c r="BG147" s="228">
        <v>4.5757490560675143E-2</v>
      </c>
      <c r="BH147" s="75">
        <f t="shared" si="872"/>
        <v>4.5757490560675143E-2</v>
      </c>
      <c r="BI147" s="78">
        <f t="shared" ref="BI147" si="1100">AVERAGE(BH147:BH148)</f>
        <v>4.5757490560675143E-2</v>
      </c>
      <c r="BJ147" s="230">
        <v>96</v>
      </c>
      <c r="BK147" s="93"/>
    </row>
    <row r="148" spans="1:63" ht="15" customHeight="1">
      <c r="A148" s="81"/>
      <c r="B148" s="82"/>
      <c r="C148" s="234"/>
      <c r="D148" s="84"/>
      <c r="E148" s="85">
        <v>-4.5</v>
      </c>
      <c r="F148" s="59"/>
      <c r="G148" s="287"/>
      <c r="H148" s="54" t="s">
        <v>10</v>
      </c>
      <c r="I148" s="225">
        <v>25.87</v>
      </c>
      <c r="J148" s="73"/>
      <c r="K148" s="86">
        <v>25.86</v>
      </c>
      <c r="L148" s="58">
        <f t="shared" si="589"/>
        <v>-1.0000000000001563E-2</v>
      </c>
      <c r="M148" s="59"/>
      <c r="N148" s="86">
        <v>25.82</v>
      </c>
      <c r="O148" s="60">
        <f t="shared" si="591"/>
        <v>-3.9999999999999147E-2</v>
      </c>
      <c r="P148" s="226"/>
      <c r="Q148" s="86">
        <v>25.82</v>
      </c>
      <c r="R148" s="227">
        <f t="shared" si="593"/>
        <v>-3.9999999999999147E-2</v>
      </c>
      <c r="S148" s="59"/>
      <c r="T148" s="86">
        <v>25.79</v>
      </c>
      <c r="U148" s="60">
        <f t="shared" si="853"/>
        <v>-7.0000000000000284E-2</v>
      </c>
      <c r="V148" s="56"/>
      <c r="W148" s="86">
        <v>25.98</v>
      </c>
      <c r="X148" s="61">
        <f t="shared" si="854"/>
        <v>0.12000000000000099</v>
      </c>
      <c r="Y148" s="59"/>
      <c r="Z148" s="61">
        <f t="shared" si="855"/>
        <v>0.16000000000000014</v>
      </c>
      <c r="AA148" s="59"/>
      <c r="AB148" s="71">
        <v>3300</v>
      </c>
      <c r="AC148" s="66"/>
      <c r="AD148" s="87">
        <v>3289</v>
      </c>
      <c r="AE148" s="87">
        <v>3448</v>
      </c>
      <c r="AF148" s="71">
        <f t="shared" si="858"/>
        <v>159</v>
      </c>
      <c r="AG148" s="66"/>
      <c r="AH148" s="87">
        <v>3546</v>
      </c>
      <c r="AI148" s="71">
        <f t="shared" si="860"/>
        <v>257</v>
      </c>
      <c r="AJ148" s="100"/>
      <c r="AK148" s="88">
        <v>12</v>
      </c>
      <c r="AL148" s="78"/>
      <c r="AM148" s="89">
        <v>13</v>
      </c>
      <c r="AN148" s="89">
        <v>13</v>
      </c>
      <c r="AO148" s="214">
        <f t="shared" si="862"/>
        <v>0</v>
      </c>
      <c r="AP148" s="78"/>
      <c r="AQ148" s="89">
        <v>11.7</v>
      </c>
      <c r="AR148" s="63">
        <f t="shared" si="864"/>
        <v>-1.3000000000000007</v>
      </c>
      <c r="AS148" s="59"/>
      <c r="AT148" s="235">
        <v>1.1549019599857431</v>
      </c>
      <c r="AU148" s="59"/>
      <c r="AV148" s="236">
        <v>-7.9181246047624804E-2</v>
      </c>
      <c r="AW148" s="237">
        <v>0.22184874961635639</v>
      </c>
      <c r="AX148" s="75">
        <f t="shared" si="866"/>
        <v>0.3010299956639812</v>
      </c>
      <c r="AY148" s="59"/>
      <c r="AZ148" s="242">
        <v>-7.9181246047624804E-2</v>
      </c>
      <c r="BA148" s="71">
        <f t="shared" si="868"/>
        <v>0</v>
      </c>
      <c r="BB148" s="59"/>
      <c r="BC148" s="229">
        <v>0</v>
      </c>
      <c r="BD148" s="91">
        <v>0.22184874961635639</v>
      </c>
      <c r="BE148" s="75">
        <f t="shared" si="870"/>
        <v>0.22184874961635639</v>
      </c>
      <c r="BF148" s="59"/>
      <c r="BG148" s="228">
        <v>4.5757490560675143E-2</v>
      </c>
      <c r="BH148" s="75">
        <f t="shared" si="872"/>
        <v>4.5757490560675143E-2</v>
      </c>
      <c r="BI148" s="78"/>
      <c r="BJ148" s="230"/>
      <c r="BK148" s="93"/>
    </row>
    <row r="149" spans="1:63" ht="15" customHeight="1">
      <c r="A149" s="247">
        <v>33</v>
      </c>
      <c r="B149" s="82" t="s">
        <v>28</v>
      </c>
      <c r="C149" s="232">
        <v>11.67945205479452</v>
      </c>
      <c r="D149" s="97" t="s">
        <v>2</v>
      </c>
      <c r="E149" s="85">
        <v>-4.375</v>
      </c>
      <c r="F149" s="100">
        <f>AVERAGE(E149:E150)</f>
        <v>-4.375</v>
      </c>
      <c r="G149" s="273">
        <v>42529</v>
      </c>
      <c r="H149" s="58" t="s">
        <v>9</v>
      </c>
      <c r="I149" s="240">
        <v>23.82</v>
      </c>
      <c r="J149" s="205">
        <f t="shared" si="1086"/>
        <v>23.85</v>
      </c>
      <c r="K149" s="86">
        <v>23.81</v>
      </c>
      <c r="L149" s="58">
        <f t="shared" si="589"/>
        <v>-1.0000000000001563E-2</v>
      </c>
      <c r="M149" s="100">
        <f t="shared" ref="M149" si="1101">AVERAGE(L149:L150)</f>
        <v>-1.5000000000000568E-2</v>
      </c>
      <c r="N149" s="86">
        <v>23.87</v>
      </c>
      <c r="O149" s="60">
        <f t="shared" si="591"/>
        <v>6.0000000000002274E-2</v>
      </c>
      <c r="P149" s="233">
        <f t="shared" ref="P149" si="1102">AVERAGE(O149:O150)</f>
        <v>7.5000000000001066E-2</v>
      </c>
      <c r="Q149" s="86">
        <v>23.93</v>
      </c>
      <c r="R149" s="227">
        <f t="shared" ref="R149:R154" si="1103">Q149-K149</f>
        <v>0.12000000000000099</v>
      </c>
      <c r="S149" s="59">
        <f t="shared" ref="S149" si="1104">AVERAGE(R149:R150)</f>
        <v>0.16000000000000014</v>
      </c>
      <c r="T149" s="104">
        <v>24.26</v>
      </c>
      <c r="U149" s="60">
        <f t="shared" ref="U149:U154" si="1105">T149-K149</f>
        <v>0.45000000000000284</v>
      </c>
      <c r="V149" s="56">
        <f t="shared" ref="V149" si="1106">AVERAGE(U149:U150)</f>
        <v>0.41000000000000192</v>
      </c>
      <c r="W149" s="104">
        <v>24.43</v>
      </c>
      <c r="X149" s="61">
        <f t="shared" ref="X149:X154" si="1107">W149-K149</f>
        <v>0.62000000000000099</v>
      </c>
      <c r="Y149" s="59">
        <f t="shared" ref="Y149" si="1108">AVERAGE(X149:X150)</f>
        <v>0.55000000000000071</v>
      </c>
      <c r="Z149" s="61">
        <f t="shared" ref="Z149:Z154" si="1109">W149-Q149</f>
        <v>0.5</v>
      </c>
      <c r="AA149" s="59">
        <f t="shared" ref="AA149" si="1110">AVERAGE(Z149:Z150)</f>
        <v>0.39000000000000057</v>
      </c>
      <c r="AB149" s="71">
        <v>3448</v>
      </c>
      <c r="AC149" s="99">
        <f t="shared" ref="AC149" si="1111">AVERAGE(AB149:AB150)</f>
        <v>3610.5</v>
      </c>
      <c r="AD149" s="87">
        <v>3676</v>
      </c>
      <c r="AE149" s="87">
        <v>3355</v>
      </c>
      <c r="AF149" s="71">
        <f t="shared" ref="AF149:AF154" si="1112">AE149-AD149</f>
        <v>-321</v>
      </c>
      <c r="AG149" s="99">
        <f t="shared" ref="AG149" si="1113">AVERAGE(AF149:AF150)</f>
        <v>-209.5</v>
      </c>
      <c r="AH149" s="87">
        <v>3623</v>
      </c>
      <c r="AI149" s="71">
        <f t="shared" ref="AI149:AI154" si="1114">AH149-AD149</f>
        <v>-53</v>
      </c>
      <c r="AJ149" s="98">
        <f t="shared" ref="AJ149" si="1115">AVERAGE(AI149:AI150)</f>
        <v>100</v>
      </c>
      <c r="AK149" s="88">
        <v>15</v>
      </c>
      <c r="AL149" s="78">
        <f t="shared" si="746"/>
        <v>15</v>
      </c>
      <c r="AM149" s="89">
        <v>12</v>
      </c>
      <c r="AN149" s="89">
        <v>13</v>
      </c>
      <c r="AO149" s="214">
        <f t="shared" ref="AO149:AO154" si="1116">AN149-AM149</f>
        <v>1</v>
      </c>
      <c r="AP149" s="78">
        <f t="shared" ref="AP149" si="1117">AVERAGE(AO149:AO150)</f>
        <v>1.75</v>
      </c>
      <c r="AQ149" s="89">
        <v>14.7</v>
      </c>
      <c r="AR149" s="63">
        <f t="shared" ref="AR149:AR154" si="1118">AQ149-AM149</f>
        <v>2.6999999999999993</v>
      </c>
      <c r="AS149" s="59">
        <f t="shared" ref="AS149" si="1119">AVERAGE(AR149:AR150)</f>
        <v>2.6999999999999993</v>
      </c>
      <c r="AT149" s="215">
        <v>1.1549019599857431</v>
      </c>
      <c r="AU149" s="59">
        <v>1.1259059864968997</v>
      </c>
      <c r="AV149" s="216">
        <v>0</v>
      </c>
      <c r="AW149" s="217">
        <v>-7.9181246047624804E-2</v>
      </c>
      <c r="AX149" s="75">
        <f t="shared" ref="AX149:AX154" si="1120">AW149-AV149</f>
        <v>-7.9181246047624804E-2</v>
      </c>
      <c r="AY149" s="59">
        <f t="shared" ref="AY149" si="1121">AVERAGE(AX149:AX150)</f>
        <v>0</v>
      </c>
      <c r="AZ149" s="241">
        <v>0.22184874961635639</v>
      </c>
      <c r="BA149" s="71">
        <f t="shared" ref="BA149:BA154" si="1122">AZ149-AV149</f>
        <v>0.22184874961635639</v>
      </c>
      <c r="BB149" s="59">
        <f t="shared" ref="BB149" si="1123">AVERAGE(BA149:BA150)</f>
        <v>0.26143937264016881</v>
      </c>
      <c r="BC149" s="229">
        <v>-7.9181246047624804E-2</v>
      </c>
      <c r="BD149" s="91">
        <v>0.15490195998574319</v>
      </c>
      <c r="BE149" s="75">
        <f t="shared" ref="BE149:BE154" si="1124">BD149-BC149</f>
        <v>0.23408320603336799</v>
      </c>
      <c r="BF149" s="59">
        <f t="shared" ref="BF149" si="1125">AVERAGE(BE149:BE150)</f>
        <v>0.23408320603336799</v>
      </c>
      <c r="BG149" s="228">
        <v>0</v>
      </c>
      <c r="BH149" s="75">
        <f t="shared" ref="BH149:BH154" si="1126">BG149-BC149</f>
        <v>7.9181246047624804E-2</v>
      </c>
      <c r="BI149" s="78">
        <f t="shared" ref="BI149" si="1127">AVERAGE(BH149:BH150)</f>
        <v>7.9181246047624804E-2</v>
      </c>
      <c r="BJ149" s="230">
        <v>100</v>
      </c>
      <c r="BK149" s="93"/>
    </row>
    <row r="150" spans="1:63" ht="15" customHeight="1">
      <c r="A150" s="81"/>
      <c r="B150" s="82"/>
      <c r="C150" s="234"/>
      <c r="D150" s="84"/>
      <c r="E150" s="85">
        <v>-4.375</v>
      </c>
      <c r="F150" s="59"/>
      <c r="G150" s="274"/>
      <c r="H150" s="254" t="s">
        <v>10</v>
      </c>
      <c r="I150" s="240">
        <v>23.88</v>
      </c>
      <c r="J150" s="73"/>
      <c r="K150" s="86">
        <v>23.86</v>
      </c>
      <c r="L150" s="58">
        <f t="shared" si="589"/>
        <v>-1.9999999999999574E-2</v>
      </c>
      <c r="M150" s="59"/>
      <c r="N150" s="86">
        <v>23.95</v>
      </c>
      <c r="O150" s="60">
        <f t="shared" si="591"/>
        <v>8.9999999999999858E-2</v>
      </c>
      <c r="P150" s="226"/>
      <c r="Q150" s="86">
        <v>24.06</v>
      </c>
      <c r="R150" s="227">
        <f t="shared" si="1103"/>
        <v>0.19999999999999929</v>
      </c>
      <c r="S150" s="59"/>
      <c r="T150" s="104">
        <v>24.23</v>
      </c>
      <c r="U150" s="60">
        <f t="shared" si="1105"/>
        <v>0.37000000000000099</v>
      </c>
      <c r="V150" s="56"/>
      <c r="W150" s="104">
        <v>24.34</v>
      </c>
      <c r="X150" s="61">
        <f t="shared" si="1107"/>
        <v>0.48000000000000043</v>
      </c>
      <c r="Y150" s="59"/>
      <c r="Z150" s="61">
        <f t="shared" si="1109"/>
        <v>0.28000000000000114</v>
      </c>
      <c r="AA150" s="59"/>
      <c r="AB150" s="71">
        <v>3773</v>
      </c>
      <c r="AC150" s="66"/>
      <c r="AD150" s="87">
        <v>3344</v>
      </c>
      <c r="AE150" s="87">
        <v>3246</v>
      </c>
      <c r="AF150" s="71">
        <f t="shared" si="1112"/>
        <v>-98</v>
      </c>
      <c r="AG150" s="66"/>
      <c r="AH150" s="87">
        <v>3597</v>
      </c>
      <c r="AI150" s="71">
        <f t="shared" si="1114"/>
        <v>253</v>
      </c>
      <c r="AJ150" s="100"/>
      <c r="AK150" s="88">
        <v>15</v>
      </c>
      <c r="AL150" s="78"/>
      <c r="AM150" s="89">
        <v>14</v>
      </c>
      <c r="AN150" s="89">
        <v>16.5</v>
      </c>
      <c r="AO150" s="214">
        <f t="shared" si="1116"/>
        <v>2.5</v>
      </c>
      <c r="AP150" s="78"/>
      <c r="AQ150" s="89">
        <v>16.7</v>
      </c>
      <c r="AR150" s="63">
        <f t="shared" si="1118"/>
        <v>2.6999999999999993</v>
      </c>
      <c r="AS150" s="59"/>
      <c r="AT150" s="235">
        <v>1.0969100130080565</v>
      </c>
      <c r="AU150" s="59"/>
      <c r="AV150" s="236">
        <v>-7.9181246047624804E-2</v>
      </c>
      <c r="AW150" s="237">
        <v>0</v>
      </c>
      <c r="AX150" s="75">
        <f t="shared" si="1120"/>
        <v>7.9181246047624804E-2</v>
      </c>
      <c r="AY150" s="59"/>
      <c r="AZ150" s="242">
        <v>0.22184874961635639</v>
      </c>
      <c r="BA150" s="71">
        <f t="shared" si="1122"/>
        <v>0.3010299956639812</v>
      </c>
      <c r="BB150" s="59"/>
      <c r="BC150" s="229">
        <v>-7.9181246047624804E-2</v>
      </c>
      <c r="BD150" s="91">
        <v>0.15490195998574319</v>
      </c>
      <c r="BE150" s="75">
        <f t="shared" si="1124"/>
        <v>0.23408320603336799</v>
      </c>
      <c r="BF150" s="59"/>
      <c r="BG150" s="228">
        <v>0</v>
      </c>
      <c r="BH150" s="75">
        <f t="shared" si="1126"/>
        <v>7.9181246047624804E-2</v>
      </c>
      <c r="BI150" s="78"/>
      <c r="BJ150" s="230"/>
      <c r="BK150" s="93"/>
    </row>
    <row r="151" spans="1:63" ht="15" customHeight="1">
      <c r="A151" s="231">
        <v>34</v>
      </c>
      <c r="B151" s="82" t="s">
        <v>29</v>
      </c>
      <c r="C151" s="243">
        <v>11.476712328767123</v>
      </c>
      <c r="D151" s="97" t="s">
        <v>1</v>
      </c>
      <c r="E151" s="255">
        <v>-4.25</v>
      </c>
      <c r="F151" s="100">
        <f t="shared" ref="F151" si="1128">AVERAGE(E151:E152)</f>
        <v>-4.375</v>
      </c>
      <c r="G151" s="290">
        <v>42058</v>
      </c>
      <c r="H151" s="135" t="s">
        <v>9</v>
      </c>
      <c r="I151" s="111">
        <v>23.6</v>
      </c>
      <c r="J151" s="205">
        <f t="shared" ref="J151" si="1129">AVERAGE(I151:I152)</f>
        <v>23.700000000000003</v>
      </c>
      <c r="K151" s="118">
        <v>23.56</v>
      </c>
      <c r="L151" s="58">
        <f t="shared" si="589"/>
        <v>-4.00000000000027E-2</v>
      </c>
      <c r="M151" s="100">
        <f t="shared" ref="M151" si="1130">AVERAGE(L151:L152)</f>
        <v>-6.0000000000002274E-2</v>
      </c>
      <c r="N151" s="118">
        <v>23.46</v>
      </c>
      <c r="O151" s="60">
        <f t="shared" si="591"/>
        <v>-9.9999999999997868E-2</v>
      </c>
      <c r="P151" s="233">
        <f t="shared" ref="P151" si="1131">AVERAGE(O151:O152)</f>
        <v>-3.9999999999999147E-2</v>
      </c>
      <c r="Q151" s="118">
        <v>23.59</v>
      </c>
      <c r="R151" s="227">
        <f t="shared" si="1103"/>
        <v>3.0000000000001137E-2</v>
      </c>
      <c r="S151" s="59">
        <f t="shared" ref="S151" si="1132">AVERAGE(R151:R152)</f>
        <v>4.0000000000000924E-2</v>
      </c>
      <c r="T151" s="104">
        <v>23.59</v>
      </c>
      <c r="U151" s="60">
        <f t="shared" si="1105"/>
        <v>3.0000000000001137E-2</v>
      </c>
      <c r="V151" s="56">
        <f t="shared" si="595"/>
        <v>5.0000000000000711E-2</v>
      </c>
      <c r="W151" s="104">
        <v>23.63</v>
      </c>
      <c r="X151" s="61">
        <f t="shared" si="1107"/>
        <v>7.0000000000000284E-2</v>
      </c>
      <c r="Y151" s="59">
        <f t="shared" si="1075"/>
        <v>8.0000000000000071E-2</v>
      </c>
      <c r="Z151" s="61">
        <f t="shared" si="1109"/>
        <v>3.9999999999999147E-2</v>
      </c>
      <c r="AA151" s="59">
        <f t="shared" ref="AA151" si="1133">AVERAGE(Z151:Z152)</f>
        <v>3.9999999999999147E-2</v>
      </c>
      <c r="AB151" s="111">
        <v>3125</v>
      </c>
      <c r="AC151" s="99">
        <f t="shared" ref="AC151" si="1134">AVERAGE(AB151:AB152)</f>
        <v>3073</v>
      </c>
      <c r="AD151" s="112">
        <v>3012</v>
      </c>
      <c r="AE151" s="112">
        <v>3083</v>
      </c>
      <c r="AF151" s="71">
        <f t="shared" si="1112"/>
        <v>71</v>
      </c>
      <c r="AG151" s="99">
        <f t="shared" ref="AG151" si="1135">AVERAGE(AF151:AF152)</f>
        <v>8.5</v>
      </c>
      <c r="AH151" s="112">
        <v>2956</v>
      </c>
      <c r="AI151" s="71">
        <f t="shared" si="1114"/>
        <v>-56</v>
      </c>
      <c r="AJ151" s="98">
        <f t="shared" ref="AJ151" si="1136">AVERAGE(AI151:AI152)</f>
        <v>-0.5</v>
      </c>
      <c r="AK151" s="113">
        <v>18</v>
      </c>
      <c r="AL151" s="78">
        <f t="shared" si="746"/>
        <v>16</v>
      </c>
      <c r="AM151" s="114">
        <v>13</v>
      </c>
      <c r="AN151" s="114">
        <v>15</v>
      </c>
      <c r="AO151" s="214">
        <f t="shared" si="1116"/>
        <v>2</v>
      </c>
      <c r="AP151" s="78">
        <f t="shared" ref="AP151" si="1137">AVERAGE(AO151:AO152)</f>
        <v>1</v>
      </c>
      <c r="AQ151" s="114">
        <v>13</v>
      </c>
      <c r="AR151" s="63">
        <f t="shared" si="1118"/>
        <v>0</v>
      </c>
      <c r="AS151" s="59">
        <f t="shared" ref="AS151" si="1138">AVERAGE(AR151:AR152)</f>
        <v>-0.5</v>
      </c>
      <c r="AT151" s="215">
        <v>1.0969100130080565</v>
      </c>
      <c r="AU151" s="59">
        <v>1.0969100130080565</v>
      </c>
      <c r="AV151" s="216">
        <v>0</v>
      </c>
      <c r="AW151" s="217">
        <v>0</v>
      </c>
      <c r="AX151" s="75">
        <f t="shared" si="1120"/>
        <v>0</v>
      </c>
      <c r="AY151" s="59">
        <f t="shared" ref="AY151" si="1139">AVERAGE(AX151:AX152)</f>
        <v>0.117041603016684</v>
      </c>
      <c r="AZ151" s="241">
        <v>0.3979400086720376</v>
      </c>
      <c r="BA151" s="71">
        <f t="shared" si="1122"/>
        <v>0.3979400086720376</v>
      </c>
      <c r="BB151" s="59">
        <f t="shared" ref="BB151" si="1140">AVERAGE(BA151:BA152)</f>
        <v>0.31601160735270278</v>
      </c>
      <c r="BC151" s="229">
        <v>4.5757490560675143E-2</v>
      </c>
      <c r="BD151" s="91">
        <v>-7.9181246047624804E-2</v>
      </c>
      <c r="BE151" s="75">
        <f t="shared" si="1124"/>
        <v>-0.12493873660829995</v>
      </c>
      <c r="BF151" s="59">
        <f t="shared" ref="BF151" si="1141">AVERAGE(BE151:BE152)</f>
        <v>-0.12493873660829995</v>
      </c>
      <c r="BG151" s="228">
        <v>0.15490195998574319</v>
      </c>
      <c r="BH151" s="75">
        <f t="shared" si="1126"/>
        <v>0.10914446942506804</v>
      </c>
      <c r="BI151" s="78">
        <f t="shared" ref="BI151" si="1142">AVERAGE(BH151:BH152)</f>
        <v>0.10914446942506804</v>
      </c>
      <c r="BJ151" s="230">
        <v>100</v>
      </c>
      <c r="BK151" s="93"/>
    </row>
    <row r="152" spans="1:63" ht="15" customHeight="1">
      <c r="A152" s="224"/>
      <c r="B152" s="82"/>
      <c r="C152" s="245"/>
      <c r="D152" s="84"/>
      <c r="E152" s="256">
        <v>-4.5</v>
      </c>
      <c r="F152" s="59"/>
      <c r="G152" s="291"/>
      <c r="H152" s="135" t="s">
        <v>10</v>
      </c>
      <c r="I152" s="111">
        <v>23.8</v>
      </c>
      <c r="J152" s="73"/>
      <c r="K152" s="118">
        <v>23.72</v>
      </c>
      <c r="L152" s="58">
        <f t="shared" si="589"/>
        <v>-8.0000000000001847E-2</v>
      </c>
      <c r="M152" s="59"/>
      <c r="N152" s="118">
        <v>23.74</v>
      </c>
      <c r="O152" s="60">
        <f t="shared" si="591"/>
        <v>1.9999999999999574E-2</v>
      </c>
      <c r="P152" s="226"/>
      <c r="Q152" s="118">
        <v>23.77</v>
      </c>
      <c r="R152" s="227">
        <f t="shared" si="1103"/>
        <v>5.0000000000000711E-2</v>
      </c>
      <c r="S152" s="59"/>
      <c r="T152" s="104">
        <v>23.79</v>
      </c>
      <c r="U152" s="60">
        <f t="shared" si="1105"/>
        <v>7.0000000000000284E-2</v>
      </c>
      <c r="V152" s="56"/>
      <c r="W152" s="104">
        <v>23.81</v>
      </c>
      <c r="X152" s="61">
        <f t="shared" si="1107"/>
        <v>8.9999999999999858E-2</v>
      </c>
      <c r="Y152" s="59"/>
      <c r="Z152" s="61">
        <f t="shared" si="1109"/>
        <v>3.9999999999999147E-2</v>
      </c>
      <c r="AA152" s="59"/>
      <c r="AB152" s="111">
        <v>3021</v>
      </c>
      <c r="AC152" s="66"/>
      <c r="AD152" s="112">
        <v>2959</v>
      </c>
      <c r="AE152" s="112">
        <v>2905</v>
      </c>
      <c r="AF152" s="71">
        <f t="shared" si="1112"/>
        <v>-54</v>
      </c>
      <c r="AG152" s="66"/>
      <c r="AH152" s="112">
        <v>3014</v>
      </c>
      <c r="AI152" s="71">
        <f t="shared" si="1114"/>
        <v>55</v>
      </c>
      <c r="AJ152" s="100"/>
      <c r="AK152" s="113">
        <v>14</v>
      </c>
      <c r="AL152" s="78"/>
      <c r="AM152" s="114">
        <v>13</v>
      </c>
      <c r="AN152" s="114">
        <v>13</v>
      </c>
      <c r="AO152" s="214">
        <f t="shared" si="1116"/>
        <v>0</v>
      </c>
      <c r="AP152" s="78"/>
      <c r="AQ152" s="114">
        <v>12</v>
      </c>
      <c r="AR152" s="63">
        <f t="shared" si="1118"/>
        <v>-1</v>
      </c>
      <c r="AS152" s="59"/>
      <c r="AT152" s="235">
        <v>1.0969100130080565</v>
      </c>
      <c r="AU152" s="59"/>
      <c r="AV152" s="236">
        <v>-7.9181246047624804E-2</v>
      </c>
      <c r="AW152" s="237">
        <v>0.15490195998574319</v>
      </c>
      <c r="AX152" s="75">
        <f t="shared" si="1120"/>
        <v>0.23408320603336799</v>
      </c>
      <c r="AY152" s="59"/>
      <c r="AZ152" s="242">
        <v>0.15490195998574319</v>
      </c>
      <c r="BA152" s="71">
        <f t="shared" si="1122"/>
        <v>0.23408320603336799</v>
      </c>
      <c r="BB152" s="59"/>
      <c r="BC152" s="229">
        <v>4.5757490560675143E-2</v>
      </c>
      <c r="BD152" s="91">
        <v>-7.9181246047624804E-2</v>
      </c>
      <c r="BE152" s="75">
        <f t="shared" si="1124"/>
        <v>-0.12493873660829995</v>
      </c>
      <c r="BF152" s="59"/>
      <c r="BG152" s="228">
        <v>0.15490195998574319</v>
      </c>
      <c r="BH152" s="75">
        <f t="shared" si="1126"/>
        <v>0.10914446942506804</v>
      </c>
      <c r="BI152" s="78"/>
      <c r="BJ152" s="230"/>
      <c r="BK152" s="93"/>
    </row>
    <row r="153" spans="1:63" ht="15" customHeight="1">
      <c r="A153" s="231">
        <v>35</v>
      </c>
      <c r="B153" s="82" t="s">
        <v>29</v>
      </c>
      <c r="C153" s="243">
        <v>11.764383561643836</v>
      </c>
      <c r="D153" s="97" t="s">
        <v>0</v>
      </c>
      <c r="E153" s="255">
        <v>-2.25</v>
      </c>
      <c r="F153" s="59">
        <f t="shared" ref="F153" si="1143">AVERAGE(E153:E154)</f>
        <v>-2.25</v>
      </c>
      <c r="G153" s="290">
        <v>42121</v>
      </c>
      <c r="H153" s="135" t="s">
        <v>9</v>
      </c>
      <c r="I153" s="257">
        <v>25.7</v>
      </c>
      <c r="J153" s="73">
        <f t="shared" ref="J153" si="1144">AVERAGE(I153:I154)</f>
        <v>25.545000000000002</v>
      </c>
      <c r="K153" s="118">
        <v>25.65</v>
      </c>
      <c r="L153" s="58">
        <f t="shared" si="589"/>
        <v>-5.0000000000000711E-2</v>
      </c>
      <c r="M153" s="59">
        <f t="shared" ref="M153" si="1145">AVERAGE(L153:L154)</f>
        <v>-5.0000000000007816E-3</v>
      </c>
      <c r="N153" s="118">
        <v>25.72</v>
      </c>
      <c r="O153" s="60">
        <f t="shared" si="591"/>
        <v>7.0000000000000284E-2</v>
      </c>
      <c r="P153" s="226">
        <f t="shared" ref="P153" si="1146">AVERAGE(O153:O154)</f>
        <v>0.10999999999999943</v>
      </c>
      <c r="Q153" s="118">
        <v>25.85</v>
      </c>
      <c r="R153" s="227">
        <f t="shared" si="1103"/>
        <v>0.20000000000000284</v>
      </c>
      <c r="S153" s="59">
        <f t="shared" ref="S153" si="1147">AVERAGE(R153:R154)</f>
        <v>0.20000000000000107</v>
      </c>
      <c r="T153" s="110">
        <v>26.14</v>
      </c>
      <c r="U153" s="60">
        <f t="shared" si="1105"/>
        <v>0.49000000000000199</v>
      </c>
      <c r="V153" s="56">
        <f t="shared" si="595"/>
        <v>0.46500000000000163</v>
      </c>
      <c r="W153" s="110">
        <v>26.23</v>
      </c>
      <c r="X153" s="61">
        <f t="shared" si="1107"/>
        <v>0.58000000000000185</v>
      </c>
      <c r="Y153" s="59">
        <f t="shared" ref="Y153" si="1148">AVERAGE(X153:X154)</f>
        <v>0.54500000000000171</v>
      </c>
      <c r="Z153" s="61">
        <f t="shared" si="1109"/>
        <v>0.37999999999999901</v>
      </c>
      <c r="AA153" s="59">
        <f t="shared" ref="AA153" si="1149">AVERAGE(Z153:Z154)</f>
        <v>0.34500000000000064</v>
      </c>
      <c r="AB153" s="111">
        <v>3058</v>
      </c>
      <c r="AC153" s="99">
        <f t="shared" ref="AC153" si="1150">AVERAGE(AB153:AB154)</f>
        <v>3082</v>
      </c>
      <c r="AD153" s="112">
        <v>3003</v>
      </c>
      <c r="AE153" s="112">
        <v>3019</v>
      </c>
      <c r="AF153" s="71">
        <f t="shared" si="1112"/>
        <v>16</v>
      </c>
      <c r="AG153" s="99">
        <f t="shared" ref="AG153" si="1151">AVERAGE(AF153:AF154)</f>
        <v>-22</v>
      </c>
      <c r="AH153" s="112">
        <v>3036</v>
      </c>
      <c r="AI153" s="71">
        <f t="shared" si="1114"/>
        <v>33</v>
      </c>
      <c r="AJ153" s="98">
        <f t="shared" ref="AJ153" si="1152">AVERAGE(AI153:AI154)</f>
        <v>-50</v>
      </c>
      <c r="AK153" s="113">
        <v>12</v>
      </c>
      <c r="AL153" s="78">
        <f t="shared" si="746"/>
        <v>12.5</v>
      </c>
      <c r="AM153" s="114">
        <v>13</v>
      </c>
      <c r="AN153" s="114">
        <v>12</v>
      </c>
      <c r="AO153" s="214">
        <f t="shared" si="1116"/>
        <v>-1</v>
      </c>
      <c r="AP153" s="78">
        <f t="shared" ref="AP153" si="1153">AVERAGE(AO153:AO154)</f>
        <v>-1.5</v>
      </c>
      <c r="AQ153" s="114">
        <v>13</v>
      </c>
      <c r="AR153" s="63">
        <f t="shared" si="1118"/>
        <v>0</v>
      </c>
      <c r="AS153" s="59">
        <f t="shared" ref="AS153" si="1154">AVERAGE(AR153:AR154)</f>
        <v>1</v>
      </c>
      <c r="AT153" s="215">
        <v>0.52287874528033762</v>
      </c>
      <c r="AU153" s="59">
        <v>0.52287874528033762</v>
      </c>
      <c r="AV153" s="216">
        <v>0</v>
      </c>
      <c r="AW153" s="217">
        <v>-7.9181246047624804E-2</v>
      </c>
      <c r="AX153" s="75">
        <f t="shared" si="1120"/>
        <v>-7.9181246047624804E-2</v>
      </c>
      <c r="AY153" s="59">
        <f t="shared" ref="AY153" si="1155">AVERAGE(AX153:AX154)</f>
        <v>-3.9590623023812402E-2</v>
      </c>
      <c r="AZ153" s="241">
        <v>9.691001300805642E-2</v>
      </c>
      <c r="BA153" s="71">
        <f t="shared" si="1122"/>
        <v>9.691001300805642E-2</v>
      </c>
      <c r="BB153" s="59">
        <f t="shared" ref="BB153" si="1156">AVERAGE(BA153:BA154)</f>
        <v>9.691001300805642E-2</v>
      </c>
      <c r="BC153" s="229">
        <v>-7.9181246047624804E-2</v>
      </c>
      <c r="BD153" s="91">
        <v>9.691001300805642E-2</v>
      </c>
      <c r="BE153" s="75">
        <f t="shared" si="1124"/>
        <v>0.17609125905568124</v>
      </c>
      <c r="BF153" s="59">
        <f t="shared" ref="BF153" si="1157">AVERAGE(BE153:BE154)</f>
        <v>0.2050872325445246</v>
      </c>
      <c r="BG153" s="228">
        <v>-7.9181246047624804E-2</v>
      </c>
      <c r="BH153" s="75">
        <f t="shared" si="1126"/>
        <v>0</v>
      </c>
      <c r="BI153" s="78">
        <f t="shared" ref="BI153" si="1158">AVERAGE(BH153:BH154)</f>
        <v>0</v>
      </c>
      <c r="BJ153" s="230">
        <v>90</v>
      </c>
      <c r="BK153" s="93"/>
    </row>
    <row r="154" spans="1:63" ht="15" customHeight="1" thickBot="1">
      <c r="A154" s="258"/>
      <c r="B154" s="152"/>
      <c r="C154" s="259"/>
      <c r="D154" s="154"/>
      <c r="E154" s="260">
        <v>-2.25</v>
      </c>
      <c r="F154" s="174"/>
      <c r="G154" s="295"/>
      <c r="H154" s="261" t="s">
        <v>10</v>
      </c>
      <c r="I154" s="166">
        <v>25.39</v>
      </c>
      <c r="J154" s="176"/>
      <c r="K154" s="157">
        <v>25.43</v>
      </c>
      <c r="L154" s="160">
        <f t="shared" si="589"/>
        <v>3.9999999999999147E-2</v>
      </c>
      <c r="M154" s="174"/>
      <c r="N154" s="157">
        <v>25.58</v>
      </c>
      <c r="O154" s="161">
        <f t="shared" si="591"/>
        <v>0.14999999999999858</v>
      </c>
      <c r="P154" s="262"/>
      <c r="Q154" s="157">
        <v>25.63</v>
      </c>
      <c r="R154" s="263">
        <f t="shared" si="1103"/>
        <v>0.19999999999999929</v>
      </c>
      <c r="S154" s="174"/>
      <c r="T154" s="157">
        <v>25.87</v>
      </c>
      <c r="U154" s="161">
        <f t="shared" si="1105"/>
        <v>0.44000000000000128</v>
      </c>
      <c r="V154" s="264"/>
      <c r="W154" s="157">
        <v>25.94</v>
      </c>
      <c r="X154" s="164">
        <f t="shared" si="1107"/>
        <v>0.51000000000000156</v>
      </c>
      <c r="Y154" s="174"/>
      <c r="Z154" s="164">
        <f t="shared" si="1109"/>
        <v>0.31000000000000227</v>
      </c>
      <c r="AA154" s="174"/>
      <c r="AB154" s="166">
        <v>3106</v>
      </c>
      <c r="AC154" s="167"/>
      <c r="AD154" s="168">
        <v>3145</v>
      </c>
      <c r="AE154" s="168">
        <v>3085</v>
      </c>
      <c r="AF154" s="169">
        <f t="shared" si="1112"/>
        <v>-60</v>
      </c>
      <c r="AG154" s="167"/>
      <c r="AH154" s="168">
        <v>3012</v>
      </c>
      <c r="AI154" s="169">
        <f t="shared" si="1114"/>
        <v>-133</v>
      </c>
      <c r="AJ154" s="156"/>
      <c r="AK154" s="171">
        <v>13</v>
      </c>
      <c r="AL154" s="170"/>
      <c r="AM154" s="172">
        <v>12</v>
      </c>
      <c r="AN154" s="172">
        <v>10</v>
      </c>
      <c r="AO154" s="173">
        <f t="shared" si="1116"/>
        <v>-2</v>
      </c>
      <c r="AP154" s="170"/>
      <c r="AQ154" s="172">
        <v>14</v>
      </c>
      <c r="AR154" s="169">
        <f t="shared" si="1118"/>
        <v>2</v>
      </c>
      <c r="AS154" s="174"/>
      <c r="AT154" s="175">
        <v>0.52287874528033762</v>
      </c>
      <c r="AU154" s="174"/>
      <c r="AV154" s="265">
        <v>0</v>
      </c>
      <c r="AW154" s="177">
        <v>0</v>
      </c>
      <c r="AX154" s="178">
        <f t="shared" si="1120"/>
        <v>0</v>
      </c>
      <c r="AY154" s="174"/>
      <c r="AZ154" s="179">
        <v>9.691001300805642E-2</v>
      </c>
      <c r="BA154" s="169">
        <f t="shared" si="1122"/>
        <v>9.691001300805642E-2</v>
      </c>
      <c r="BB154" s="174"/>
      <c r="BC154" s="266">
        <v>-7.9181246047624804E-2</v>
      </c>
      <c r="BD154" s="177">
        <v>0.15490195998574319</v>
      </c>
      <c r="BE154" s="178">
        <f t="shared" si="1124"/>
        <v>0.23408320603336799</v>
      </c>
      <c r="BF154" s="174"/>
      <c r="BG154" s="265">
        <v>-7.9181246047624804E-2</v>
      </c>
      <c r="BH154" s="178">
        <f t="shared" si="1126"/>
        <v>0</v>
      </c>
      <c r="BI154" s="170"/>
      <c r="BJ154" s="267"/>
      <c r="BK154" s="180"/>
    </row>
  </sheetData>
  <mergeCells count="1963">
    <mergeCell ref="A1:BK1"/>
    <mergeCell ref="L4:M4"/>
    <mergeCell ref="R4:S4"/>
    <mergeCell ref="O4:P4"/>
    <mergeCell ref="U4:V4"/>
    <mergeCell ref="X4:Y4"/>
    <mergeCell ref="Z4:AA4"/>
    <mergeCell ref="Y11:Y12"/>
    <mergeCell ref="V15:V16"/>
    <mergeCell ref="Y25:Y26"/>
    <mergeCell ref="Y33:Y34"/>
    <mergeCell ref="AC71:AC72"/>
    <mergeCell ref="V49:V50"/>
    <mergeCell ref="V41:V42"/>
    <mergeCell ref="Y47:Y48"/>
    <mergeCell ref="AC45:AC46"/>
    <mergeCell ref="AA73:AA74"/>
    <mergeCell ref="AA61:AA62"/>
    <mergeCell ref="AA63:AA64"/>
    <mergeCell ref="AA45:AA46"/>
    <mergeCell ref="AA21:AA22"/>
    <mergeCell ref="AA23:AA24"/>
    <mergeCell ref="V7:V8"/>
    <mergeCell ref="AC11:AC12"/>
    <mergeCell ref="AC13:AC14"/>
    <mergeCell ref="AC15:AC16"/>
    <mergeCell ref="AC17:AC18"/>
    <mergeCell ref="AC19:AC20"/>
    <mergeCell ref="AC21:AC22"/>
    <mergeCell ref="AC23:AC24"/>
    <mergeCell ref="AA5:AA6"/>
    <mergeCell ref="Y5:Y6"/>
    <mergeCell ref="AA67:AA68"/>
    <mergeCell ref="G79:G80"/>
    <mergeCell ref="P79:P80"/>
    <mergeCell ref="J71:J72"/>
    <mergeCell ref="Y69:Y70"/>
    <mergeCell ref="Y79:Y80"/>
    <mergeCell ref="Y71:Y72"/>
    <mergeCell ref="V67:V68"/>
    <mergeCell ref="AG31:AG32"/>
    <mergeCell ref="AG41:AG42"/>
    <mergeCell ref="AG45:AG46"/>
    <mergeCell ref="AG51:AG52"/>
    <mergeCell ref="AG67:AG68"/>
    <mergeCell ref="AG69:AG70"/>
    <mergeCell ref="AG71:AG72"/>
    <mergeCell ref="AG73:AG74"/>
    <mergeCell ref="AG61:AG62"/>
    <mergeCell ref="AG63:AG64"/>
    <mergeCell ref="AG75:AG76"/>
    <mergeCell ref="AG55:AG56"/>
    <mergeCell ref="AC31:AC32"/>
    <mergeCell ref="AC41:AC42"/>
    <mergeCell ref="AC51:AC52"/>
    <mergeCell ref="V75:V76"/>
    <mergeCell ref="V77:V78"/>
    <mergeCell ref="Y59:Y60"/>
    <mergeCell ref="Y73:Y74"/>
    <mergeCell ref="V59:V60"/>
    <mergeCell ref="AA71:AA72"/>
    <mergeCell ref="J63:J64"/>
    <mergeCell ref="M61:M62"/>
    <mergeCell ref="M63:M64"/>
    <mergeCell ref="Y7:Y8"/>
    <mergeCell ref="Y9:Y10"/>
    <mergeCell ref="AA11:AA12"/>
    <mergeCell ref="AA13:AA14"/>
    <mergeCell ref="AA15:AA16"/>
    <mergeCell ref="AA17:AA18"/>
    <mergeCell ref="AA19:AA20"/>
    <mergeCell ref="Y13:Y14"/>
    <mergeCell ref="Y15:Y16"/>
    <mergeCell ref="Y17:Y18"/>
    <mergeCell ref="Y19:Y20"/>
    <mergeCell ref="AA7:AA8"/>
    <mergeCell ref="Y23:Y24"/>
    <mergeCell ref="Y31:Y32"/>
    <mergeCell ref="AA9:AA10"/>
    <mergeCell ref="AA25:AA26"/>
    <mergeCell ref="AA27:AA28"/>
    <mergeCell ref="D75:D76"/>
    <mergeCell ref="F75:F76"/>
    <mergeCell ref="P69:P70"/>
    <mergeCell ref="S69:S70"/>
    <mergeCell ref="P71:P72"/>
    <mergeCell ref="S71:S72"/>
    <mergeCell ref="F61:F62"/>
    <mergeCell ref="P75:P76"/>
    <mergeCell ref="G11:G12"/>
    <mergeCell ref="G43:G44"/>
    <mergeCell ref="P65:P66"/>
    <mergeCell ref="S65:S66"/>
    <mergeCell ref="P67:P68"/>
    <mergeCell ref="S67:S68"/>
    <mergeCell ref="G61:G62"/>
    <mergeCell ref="G63:G64"/>
    <mergeCell ref="J61:J62"/>
    <mergeCell ref="J65:J66"/>
    <mergeCell ref="J75:J76"/>
    <mergeCell ref="M75:M76"/>
    <mergeCell ref="P39:P40"/>
    <mergeCell ref="D39:D40"/>
    <mergeCell ref="J41:J42"/>
    <mergeCell ref="D51:D52"/>
    <mergeCell ref="M43:M44"/>
    <mergeCell ref="D37:D38"/>
    <mergeCell ref="F37:F38"/>
    <mergeCell ref="F39:F40"/>
    <mergeCell ref="F29:F30"/>
    <mergeCell ref="G45:G46"/>
    <mergeCell ref="G15:G16"/>
    <mergeCell ref="F47:F48"/>
    <mergeCell ref="BK73:BK74"/>
    <mergeCell ref="BK59:BK60"/>
    <mergeCell ref="AJ71:AJ72"/>
    <mergeCell ref="AS73:AS74"/>
    <mergeCell ref="AU73:AU74"/>
    <mergeCell ref="AG59:AG60"/>
    <mergeCell ref="BB73:BB74"/>
    <mergeCell ref="V19:V20"/>
    <mergeCell ref="V21:V22"/>
    <mergeCell ref="V23:V24"/>
    <mergeCell ref="V31:V32"/>
    <mergeCell ref="F11:F12"/>
    <mergeCell ref="F13:F14"/>
    <mergeCell ref="J11:J12"/>
    <mergeCell ref="G13:G14"/>
    <mergeCell ref="G17:G18"/>
    <mergeCell ref="G19:G20"/>
    <mergeCell ref="G21:G22"/>
    <mergeCell ref="P35:P36"/>
    <mergeCell ref="P33:P34"/>
    <mergeCell ref="P31:P32"/>
    <mergeCell ref="M11:M12"/>
    <mergeCell ref="V25:V26"/>
    <mergeCell ref="G29:G30"/>
    <mergeCell ref="J29:J30"/>
    <mergeCell ref="M29:M30"/>
    <mergeCell ref="P29:P30"/>
    <mergeCell ref="S29:S30"/>
    <mergeCell ref="V29:V30"/>
    <mergeCell ref="M19:M20"/>
    <mergeCell ref="P11:P12"/>
    <mergeCell ref="P13:P14"/>
    <mergeCell ref="BJ73:BJ74"/>
    <mergeCell ref="BJ49:BJ50"/>
    <mergeCell ref="AL61:AL62"/>
    <mergeCell ref="AL63:AL64"/>
    <mergeCell ref="AP51:AP52"/>
    <mergeCell ref="AP67:AP68"/>
    <mergeCell ref="AP69:AP70"/>
    <mergeCell ref="BB51:BB52"/>
    <mergeCell ref="BJ67:BJ68"/>
    <mergeCell ref="BJ69:BJ70"/>
    <mergeCell ref="BJ65:BJ66"/>
    <mergeCell ref="AP65:AP66"/>
    <mergeCell ref="AS51:AS52"/>
    <mergeCell ref="AS61:AS62"/>
    <mergeCell ref="AS63:AS64"/>
    <mergeCell ref="BB53:BB54"/>
    <mergeCell ref="BJ71:BJ72"/>
    <mergeCell ref="AY51:AY52"/>
    <mergeCell ref="AY61:AY62"/>
    <mergeCell ref="AY63:AY64"/>
    <mergeCell ref="BJ57:BJ58"/>
    <mergeCell ref="AL69:AL70"/>
    <mergeCell ref="AP73:AP74"/>
    <mergeCell ref="C63:C64"/>
    <mergeCell ref="D61:D62"/>
    <mergeCell ref="D63:D64"/>
    <mergeCell ref="AP63:AP64"/>
    <mergeCell ref="P59:P60"/>
    <mergeCell ref="AA57:AA58"/>
    <mergeCell ref="S55:S56"/>
    <mergeCell ref="M65:M66"/>
    <mergeCell ref="P61:P62"/>
    <mergeCell ref="AC69:AC70"/>
    <mergeCell ref="AC59:AC60"/>
    <mergeCell ref="AC61:AC62"/>
    <mergeCell ref="AC63:AC64"/>
    <mergeCell ref="AC57:AC58"/>
    <mergeCell ref="C61:C62"/>
    <mergeCell ref="M59:M60"/>
    <mergeCell ref="AC55:AC56"/>
    <mergeCell ref="C55:C56"/>
    <mergeCell ref="C57:C58"/>
    <mergeCell ref="V69:V70"/>
    <mergeCell ref="AC67:AC68"/>
    <mergeCell ref="V57:V58"/>
    <mergeCell ref="Y65:Y66"/>
    <mergeCell ref="AA65:AA66"/>
    <mergeCell ref="S61:S62"/>
    <mergeCell ref="S63:S64"/>
    <mergeCell ref="V61:V62"/>
    <mergeCell ref="V63:V64"/>
    <mergeCell ref="P57:P58"/>
    <mergeCell ref="F59:F60"/>
    <mergeCell ref="Y61:Y62"/>
    <mergeCell ref="Y63:Y64"/>
    <mergeCell ref="A73:A74"/>
    <mergeCell ref="B73:B74"/>
    <mergeCell ref="C73:C74"/>
    <mergeCell ref="D73:D74"/>
    <mergeCell ref="F73:F74"/>
    <mergeCell ref="G73:G74"/>
    <mergeCell ref="J73:J74"/>
    <mergeCell ref="M73:M74"/>
    <mergeCell ref="P73:P74"/>
    <mergeCell ref="S73:S74"/>
    <mergeCell ref="V73:V74"/>
    <mergeCell ref="A55:A56"/>
    <mergeCell ref="V65:V66"/>
    <mergeCell ref="J79:J80"/>
    <mergeCell ref="F71:F72"/>
    <mergeCell ref="M67:M68"/>
    <mergeCell ref="M69:M70"/>
    <mergeCell ref="M71:M72"/>
    <mergeCell ref="M79:M80"/>
    <mergeCell ref="J67:J68"/>
    <mergeCell ref="G55:G56"/>
    <mergeCell ref="S79:S80"/>
    <mergeCell ref="G65:G66"/>
    <mergeCell ref="F63:F64"/>
    <mergeCell ref="P77:P78"/>
    <mergeCell ref="S75:S76"/>
    <mergeCell ref="S77:S78"/>
    <mergeCell ref="G69:G70"/>
    <mergeCell ref="G71:G72"/>
    <mergeCell ref="F79:F80"/>
    <mergeCell ref="V71:V72"/>
    <mergeCell ref="A79:A80"/>
    <mergeCell ref="P63:P64"/>
    <mergeCell ref="J77:J78"/>
    <mergeCell ref="M77:M78"/>
    <mergeCell ref="BJ59:BJ60"/>
    <mergeCell ref="AJ59:AJ60"/>
    <mergeCell ref="AL59:AL60"/>
    <mergeCell ref="BJ53:BJ54"/>
    <mergeCell ref="BJ55:BJ56"/>
    <mergeCell ref="AJ77:AJ78"/>
    <mergeCell ref="AJ69:AJ70"/>
    <mergeCell ref="G53:G54"/>
    <mergeCell ref="F53:F54"/>
    <mergeCell ref="F55:F56"/>
    <mergeCell ref="F57:F58"/>
    <mergeCell ref="BB65:BB66"/>
    <mergeCell ref="P53:P54"/>
    <mergeCell ref="AS75:AS76"/>
    <mergeCell ref="AS77:AS78"/>
    <mergeCell ref="AS71:AS72"/>
    <mergeCell ref="AU67:AU68"/>
    <mergeCell ref="AU71:AU72"/>
    <mergeCell ref="AU77:AU78"/>
    <mergeCell ref="AG53:AG54"/>
    <mergeCell ref="AJ65:AJ66"/>
    <mergeCell ref="S59:S60"/>
    <mergeCell ref="AL75:AL76"/>
    <mergeCell ref="AL77:AL78"/>
    <mergeCell ref="AG77:AG78"/>
    <mergeCell ref="AG65:AG66"/>
    <mergeCell ref="S57:S58"/>
    <mergeCell ref="AP75:AP76"/>
    <mergeCell ref="AP77:AP78"/>
    <mergeCell ref="AS79:AS80"/>
    <mergeCell ref="BJ79:BJ80"/>
    <mergeCell ref="AU79:AU80"/>
    <mergeCell ref="S33:S34"/>
    <mergeCell ref="V51:V52"/>
    <mergeCell ref="AA59:AA60"/>
    <mergeCell ref="S41:S42"/>
    <mergeCell ref="V35:V36"/>
    <mergeCell ref="Y43:Y44"/>
    <mergeCell ref="Y55:Y56"/>
    <mergeCell ref="Y57:Y58"/>
    <mergeCell ref="S47:S48"/>
    <mergeCell ref="V47:V48"/>
    <mergeCell ref="AC43:AC44"/>
    <mergeCell ref="AC53:AC54"/>
    <mergeCell ref="S51:S52"/>
    <mergeCell ref="V45:V46"/>
    <mergeCell ref="AC79:AC80"/>
    <mergeCell ref="V79:V80"/>
    <mergeCell ref="Y67:Y68"/>
    <mergeCell ref="S49:S50"/>
    <mergeCell ref="AS47:AS48"/>
    <mergeCell ref="V53:V54"/>
    <mergeCell ref="AA41:AA42"/>
    <mergeCell ref="AA51:AA52"/>
    <mergeCell ref="AG79:AG80"/>
    <mergeCell ref="AJ51:AJ52"/>
    <mergeCell ref="AJ61:AJ62"/>
    <mergeCell ref="AS69:AS70"/>
    <mergeCell ref="AS67:AS68"/>
    <mergeCell ref="AU57:AU58"/>
    <mergeCell ref="BI79:BI80"/>
    <mergeCell ref="BK55:BK56"/>
    <mergeCell ref="AK3:AS3"/>
    <mergeCell ref="AS37:AS38"/>
    <mergeCell ref="AS39:AS40"/>
    <mergeCell ref="AS43:AS44"/>
    <mergeCell ref="AS53:AS54"/>
    <mergeCell ref="AS55:AS56"/>
    <mergeCell ref="AS57:AS58"/>
    <mergeCell ref="AS65:AS66"/>
    <mergeCell ref="AL79:AL80"/>
    <mergeCell ref="AL65:AL66"/>
    <mergeCell ref="AL67:AL68"/>
    <mergeCell ref="BJ5:BJ6"/>
    <mergeCell ref="BK5:BK6"/>
    <mergeCell ref="BJ7:BJ8"/>
    <mergeCell ref="BK7:BK8"/>
    <mergeCell ref="BJ9:BJ10"/>
    <mergeCell ref="BK9:BK10"/>
    <mergeCell ref="BJ25:BJ26"/>
    <mergeCell ref="BK25:BK26"/>
    <mergeCell ref="BJ29:BJ30"/>
    <mergeCell ref="BK29:BK30"/>
    <mergeCell ref="BJ27:BJ28"/>
    <mergeCell ref="BK27:BK28"/>
    <mergeCell ref="BJ33:BJ34"/>
    <mergeCell ref="BK33:BK34"/>
    <mergeCell ref="BJ43:BJ44"/>
    <mergeCell ref="BJ47:BJ48"/>
    <mergeCell ref="BK21:BK22"/>
    <mergeCell ref="BJ21:BJ22"/>
    <mergeCell ref="BK37:BK38"/>
    <mergeCell ref="AL49:AL50"/>
    <mergeCell ref="AB3:AJ3"/>
    <mergeCell ref="AR4:AS4"/>
    <mergeCell ref="AS5:AS6"/>
    <mergeCell ref="AS7:AS8"/>
    <mergeCell ref="AS9:AS10"/>
    <mergeCell ref="AS25:AS26"/>
    <mergeCell ref="AS27:AS28"/>
    <mergeCell ref="AS33:AS34"/>
    <mergeCell ref="AS35:AS36"/>
    <mergeCell ref="AI4:AJ4"/>
    <mergeCell ref="AJ5:AJ6"/>
    <mergeCell ref="AJ7:AJ8"/>
    <mergeCell ref="AJ9:AJ10"/>
    <mergeCell ref="AJ25:AJ26"/>
    <mergeCell ref="AJ27:AJ28"/>
    <mergeCell ref="AJ33:AJ34"/>
    <mergeCell ref="AJ35:AJ36"/>
    <mergeCell ref="AL5:AL6"/>
    <mergeCell ref="AL7:AL8"/>
    <mergeCell ref="AL9:AL10"/>
    <mergeCell ref="AL25:AL26"/>
    <mergeCell ref="AK4:AL4"/>
    <mergeCell ref="AF4:AG4"/>
    <mergeCell ref="AG5:AG6"/>
    <mergeCell ref="AG11:AG12"/>
    <mergeCell ref="AG13:AG14"/>
    <mergeCell ref="AG15:AG16"/>
    <mergeCell ref="AG17:AG18"/>
    <mergeCell ref="AG19:AG20"/>
    <mergeCell ref="AG21:AG22"/>
    <mergeCell ref="AG23:AG24"/>
    <mergeCell ref="AG27:AG28"/>
    <mergeCell ref="I4:J4"/>
    <mergeCell ref="J5:J6"/>
    <mergeCell ref="J7:J8"/>
    <mergeCell ref="J9:J10"/>
    <mergeCell ref="J25:J26"/>
    <mergeCell ref="J27:J28"/>
    <mergeCell ref="J33:J34"/>
    <mergeCell ref="J35:J36"/>
    <mergeCell ref="J37:J38"/>
    <mergeCell ref="J39:J40"/>
    <mergeCell ref="J43:J44"/>
    <mergeCell ref="J53:J54"/>
    <mergeCell ref="J55:J56"/>
    <mergeCell ref="J57:J58"/>
    <mergeCell ref="V5:V6"/>
    <mergeCell ref="S5:S6"/>
    <mergeCell ref="S7:S8"/>
    <mergeCell ref="S9:S10"/>
    <mergeCell ref="S31:S32"/>
    <mergeCell ref="M5:M6"/>
    <mergeCell ref="M7:M8"/>
    <mergeCell ref="M9:M10"/>
    <mergeCell ref="M25:M26"/>
    <mergeCell ref="M27:M28"/>
    <mergeCell ref="M33:M34"/>
    <mergeCell ref="M35:M36"/>
    <mergeCell ref="M37:M38"/>
    <mergeCell ref="M39:M40"/>
    <mergeCell ref="M55:M56"/>
    <mergeCell ref="P5:P6"/>
    <mergeCell ref="M53:M54"/>
    <mergeCell ref="S25:S26"/>
    <mergeCell ref="G5:G6"/>
    <mergeCell ref="D11:D12"/>
    <mergeCell ref="D13:D14"/>
    <mergeCell ref="G25:G26"/>
    <mergeCell ref="G23:G24"/>
    <mergeCell ref="D29:D30"/>
    <mergeCell ref="F65:F66"/>
    <mergeCell ref="F67:F68"/>
    <mergeCell ref="F69:F70"/>
    <mergeCell ref="C71:C72"/>
    <mergeCell ref="D71:D72"/>
    <mergeCell ref="D79:D80"/>
    <mergeCell ref="D69:D70"/>
    <mergeCell ref="C69:C70"/>
    <mergeCell ref="C79:C80"/>
    <mergeCell ref="B79:B80"/>
    <mergeCell ref="B65:B66"/>
    <mergeCell ref="B67:B68"/>
    <mergeCell ref="B69:B70"/>
    <mergeCell ref="B71:B72"/>
    <mergeCell ref="D57:D58"/>
    <mergeCell ref="G57:G58"/>
    <mergeCell ref="D65:D66"/>
    <mergeCell ref="D59:D60"/>
    <mergeCell ref="F77:F78"/>
    <mergeCell ref="D67:D68"/>
    <mergeCell ref="G67:G68"/>
    <mergeCell ref="G75:G76"/>
    <mergeCell ref="G77:G78"/>
    <mergeCell ref="B49:B50"/>
    <mergeCell ref="C49:C50"/>
    <mergeCell ref="D49:D50"/>
    <mergeCell ref="A65:A66"/>
    <mergeCell ref="C65:C66"/>
    <mergeCell ref="B57:B58"/>
    <mergeCell ref="A59:A60"/>
    <mergeCell ref="B59:B60"/>
    <mergeCell ref="A57:A58"/>
    <mergeCell ref="A69:A70"/>
    <mergeCell ref="A67:A68"/>
    <mergeCell ref="C67:C68"/>
    <mergeCell ref="A71:A72"/>
    <mergeCell ref="A63:A64"/>
    <mergeCell ref="B63:B64"/>
    <mergeCell ref="H3:H4"/>
    <mergeCell ref="A43:A44"/>
    <mergeCell ref="B37:B38"/>
    <mergeCell ref="B39:B40"/>
    <mergeCell ref="C37:C38"/>
    <mergeCell ref="G35:G36"/>
    <mergeCell ref="G33:G34"/>
    <mergeCell ref="C35:C36"/>
    <mergeCell ref="A53:A54"/>
    <mergeCell ref="C43:C44"/>
    <mergeCell ref="B53:B54"/>
    <mergeCell ref="B55:B56"/>
    <mergeCell ref="D53:D54"/>
    <mergeCell ref="G39:G40"/>
    <mergeCell ref="F7:F8"/>
    <mergeCell ref="F9:F10"/>
    <mergeCell ref="G3:G4"/>
    <mergeCell ref="F5:F6"/>
    <mergeCell ref="D25:D26"/>
    <mergeCell ref="C5:C6"/>
    <mergeCell ref="D5:D6"/>
    <mergeCell ref="A3:A4"/>
    <mergeCell ref="D3:D4"/>
    <mergeCell ref="A5:A6"/>
    <mergeCell ref="C7:C8"/>
    <mergeCell ref="D7:D8"/>
    <mergeCell ref="C9:C10"/>
    <mergeCell ref="A9:A10"/>
    <mergeCell ref="B27:B28"/>
    <mergeCell ref="B3:B4"/>
    <mergeCell ref="B5:B6"/>
    <mergeCell ref="B7:B8"/>
    <mergeCell ref="B9:B10"/>
    <mergeCell ref="B25:B26"/>
    <mergeCell ref="B33:B34"/>
    <mergeCell ref="A33:A34"/>
    <mergeCell ref="D15:D16"/>
    <mergeCell ref="D17:D18"/>
    <mergeCell ref="C13:C14"/>
    <mergeCell ref="D23:D24"/>
    <mergeCell ref="B11:B12"/>
    <mergeCell ref="A29:A30"/>
    <mergeCell ref="C3:C4"/>
    <mergeCell ref="A15:A16"/>
    <mergeCell ref="A17:A18"/>
    <mergeCell ref="A19:A20"/>
    <mergeCell ref="P7:P8"/>
    <mergeCell ref="P9:P10"/>
    <mergeCell ref="P25:P26"/>
    <mergeCell ref="J13:J14"/>
    <mergeCell ref="J15:J16"/>
    <mergeCell ref="J17:J18"/>
    <mergeCell ref="J19:J20"/>
    <mergeCell ref="J21:J22"/>
    <mergeCell ref="J23:J24"/>
    <mergeCell ref="C29:C30"/>
    <mergeCell ref="G7:G8"/>
    <mergeCell ref="C11:C12"/>
    <mergeCell ref="M15:M16"/>
    <mergeCell ref="M17:M18"/>
    <mergeCell ref="A7:A8"/>
    <mergeCell ref="A27:A28"/>
    <mergeCell ref="A35:A36"/>
    <mergeCell ref="B31:B32"/>
    <mergeCell ref="B29:B30"/>
    <mergeCell ref="A25:A26"/>
    <mergeCell ref="A11:A12"/>
    <mergeCell ref="A13:A14"/>
    <mergeCell ref="G27:G28"/>
    <mergeCell ref="P27:P28"/>
    <mergeCell ref="P21:P22"/>
    <mergeCell ref="D9:D10"/>
    <mergeCell ref="G9:G10"/>
    <mergeCell ref="D33:D34"/>
    <mergeCell ref="F25:F26"/>
    <mergeCell ref="F27:F28"/>
    <mergeCell ref="F17:F18"/>
    <mergeCell ref="V9:V10"/>
    <mergeCell ref="Y29:Y30"/>
    <mergeCell ref="V27:V28"/>
    <mergeCell ref="V17:V18"/>
    <mergeCell ref="V11:V12"/>
    <mergeCell ref="V13:V14"/>
    <mergeCell ref="AC65:AC66"/>
    <mergeCell ref="AA29:AA30"/>
    <mergeCell ref="AA33:AA34"/>
    <mergeCell ref="AA35:AA36"/>
    <mergeCell ref="AA37:AA38"/>
    <mergeCell ref="AA39:AA40"/>
    <mergeCell ref="AA43:AA44"/>
    <mergeCell ref="AA47:AA48"/>
    <mergeCell ref="AA49:AA50"/>
    <mergeCell ref="AA53:AA54"/>
    <mergeCell ref="AA55:AA56"/>
    <mergeCell ref="AC37:AC38"/>
    <mergeCell ref="V39:V40"/>
    <mergeCell ref="V43:V44"/>
    <mergeCell ref="Y45:Y46"/>
    <mergeCell ref="AC49:AC50"/>
    <mergeCell ref="Y41:Y42"/>
    <mergeCell ref="Y51:Y52"/>
    <mergeCell ref="Y21:Y22"/>
    <mergeCell ref="AC47:AC48"/>
    <mergeCell ref="AJ79:AJ80"/>
    <mergeCell ref="Y53:Y54"/>
    <mergeCell ref="Y35:Y36"/>
    <mergeCell ref="AJ47:AJ48"/>
    <mergeCell ref="AC39:AC40"/>
    <mergeCell ref="AJ75:AJ76"/>
    <mergeCell ref="AC75:AC76"/>
    <mergeCell ref="AC77:AC78"/>
    <mergeCell ref="Y75:Y76"/>
    <mergeCell ref="Y77:Y78"/>
    <mergeCell ref="AA79:AA80"/>
    <mergeCell ref="AA75:AA76"/>
    <mergeCell ref="AA77:AA78"/>
    <mergeCell ref="AJ49:AJ50"/>
    <mergeCell ref="AC73:AC74"/>
    <mergeCell ref="AA69:AA70"/>
    <mergeCell ref="AJ53:AJ54"/>
    <mergeCell ref="AJ55:AJ56"/>
    <mergeCell ref="AG57:AG58"/>
    <mergeCell ref="AS49:AS50"/>
    <mergeCell ref="AU49:AU50"/>
    <mergeCell ref="AS29:AS30"/>
    <mergeCell ref="AS59:AS60"/>
    <mergeCell ref="AS45:AS46"/>
    <mergeCell ref="AU65:AU66"/>
    <mergeCell ref="AU47:AU48"/>
    <mergeCell ref="AU43:AU44"/>
    <mergeCell ref="AU63:AU64"/>
    <mergeCell ref="AL19:AL20"/>
    <mergeCell ref="AJ57:AJ58"/>
    <mergeCell ref="AG47:AG48"/>
    <mergeCell ref="AG49:AG50"/>
    <mergeCell ref="AU55:AU56"/>
    <mergeCell ref="AU27:AU28"/>
    <mergeCell ref="AJ11:AJ12"/>
    <mergeCell ref="AJ13:AJ14"/>
    <mergeCell ref="AJ15:AJ16"/>
    <mergeCell ref="AJ17:AJ18"/>
    <mergeCell ref="AJ19:AJ20"/>
    <mergeCell ref="AJ21:AJ22"/>
    <mergeCell ref="AJ63:AJ64"/>
    <mergeCell ref="AJ41:AJ42"/>
    <mergeCell ref="AJ45:AJ46"/>
    <mergeCell ref="AP9:AP10"/>
    <mergeCell ref="AP25:AP26"/>
    <mergeCell ref="AP21:AP22"/>
    <mergeCell ref="AP23:AP24"/>
    <mergeCell ref="AP33:AP34"/>
    <mergeCell ref="AP35:AP36"/>
    <mergeCell ref="AP45:AP46"/>
    <mergeCell ref="AL71:AL72"/>
    <mergeCell ref="AP27:AP28"/>
    <mergeCell ref="AJ29:AJ30"/>
    <mergeCell ref="AP43:AP44"/>
    <mergeCell ref="AJ37:AJ38"/>
    <mergeCell ref="AJ39:AJ40"/>
    <mergeCell ref="AP29:AP30"/>
    <mergeCell ref="AP41:AP42"/>
    <mergeCell ref="AJ23:AJ24"/>
    <mergeCell ref="AJ31:AJ32"/>
    <mergeCell ref="AJ67:AJ68"/>
    <mergeCell ref="AL37:AL38"/>
    <mergeCell ref="AL39:AL40"/>
    <mergeCell ref="AP71:AP72"/>
    <mergeCell ref="AP39:AP40"/>
    <mergeCell ref="AP61:AP62"/>
    <mergeCell ref="AJ43:AJ44"/>
    <mergeCell ref="AL51:AL52"/>
    <mergeCell ref="AP17:AP18"/>
    <mergeCell ref="AP19:AP20"/>
    <mergeCell ref="AP47:AP48"/>
    <mergeCell ref="AP49:AP50"/>
    <mergeCell ref="AP53:AP54"/>
    <mergeCell ref="AP57:AP58"/>
    <mergeCell ref="AP59:AP60"/>
    <mergeCell ref="AB4:AC4"/>
    <mergeCell ref="AC5:AC6"/>
    <mergeCell ref="AC7:AC8"/>
    <mergeCell ref="AC9:AC10"/>
    <mergeCell ref="AC25:AC26"/>
    <mergeCell ref="AC27:AC28"/>
    <mergeCell ref="AC33:AC34"/>
    <mergeCell ref="AC35:AC36"/>
    <mergeCell ref="AL11:AL12"/>
    <mergeCell ref="AL13:AL14"/>
    <mergeCell ref="AL15:AL16"/>
    <mergeCell ref="AL17:AL18"/>
    <mergeCell ref="AG9:AG10"/>
    <mergeCell ref="AG25:AG26"/>
    <mergeCell ref="AL27:AL28"/>
    <mergeCell ref="AL33:AL34"/>
    <mergeCell ref="AL35:AL36"/>
    <mergeCell ref="AL21:AL22"/>
    <mergeCell ref="AL23:AL24"/>
    <mergeCell ref="AL31:AL32"/>
    <mergeCell ref="AG7:AG8"/>
    <mergeCell ref="AG29:AG30"/>
    <mergeCell ref="AC29:AC30"/>
    <mergeCell ref="AU7:AU8"/>
    <mergeCell ref="AP37:AP38"/>
    <mergeCell ref="AL47:AL48"/>
    <mergeCell ref="AL57:AL58"/>
    <mergeCell ref="AP79:AP80"/>
    <mergeCell ref="AL41:AL42"/>
    <mergeCell ref="AL45:AL46"/>
    <mergeCell ref="AL29:AL30"/>
    <mergeCell ref="BB43:BB44"/>
    <mergeCell ref="AP55:AP56"/>
    <mergeCell ref="BB9:BB10"/>
    <mergeCell ref="BB25:BB26"/>
    <mergeCell ref="AY35:AY36"/>
    <mergeCell ref="AY37:AY38"/>
    <mergeCell ref="AY39:AY40"/>
    <mergeCell ref="AO4:AP4"/>
    <mergeCell ref="AP5:AP6"/>
    <mergeCell ref="AP7:AP8"/>
    <mergeCell ref="BB35:BB36"/>
    <mergeCell ref="AT4:AU4"/>
    <mergeCell ref="AU5:AU6"/>
    <mergeCell ref="AU9:AU10"/>
    <mergeCell ref="AU25:AU26"/>
    <mergeCell ref="AX4:AY4"/>
    <mergeCell ref="BB19:BB20"/>
    <mergeCell ref="AP31:AP32"/>
    <mergeCell ref="BA4:BB4"/>
    <mergeCell ref="BB5:BB6"/>
    <mergeCell ref="AP11:AP12"/>
    <mergeCell ref="AP13:AP14"/>
    <mergeCell ref="AP15:AP16"/>
    <mergeCell ref="AS41:AS42"/>
    <mergeCell ref="BI39:BI40"/>
    <mergeCell ref="BF67:BF68"/>
    <mergeCell ref="BF69:BF70"/>
    <mergeCell ref="BF45:BF46"/>
    <mergeCell ref="BF51:BF52"/>
    <mergeCell ref="BJ39:BJ40"/>
    <mergeCell ref="BK39:BK40"/>
    <mergeCell ref="B41:B42"/>
    <mergeCell ref="AT3:BB3"/>
    <mergeCell ref="BB67:BB68"/>
    <mergeCell ref="BB69:BB70"/>
    <mergeCell ref="BB71:BB72"/>
    <mergeCell ref="BB79:BB80"/>
    <mergeCell ref="BB57:BB58"/>
    <mergeCell ref="BB55:BB56"/>
    <mergeCell ref="AY5:AY6"/>
    <mergeCell ref="AY7:AY8"/>
    <mergeCell ref="AY9:AY10"/>
    <mergeCell ref="BF71:BF72"/>
    <mergeCell ref="BB7:BB8"/>
    <mergeCell ref="AY29:AY30"/>
    <mergeCell ref="BF79:BF80"/>
    <mergeCell ref="BF61:BF62"/>
    <mergeCell ref="BB49:BB50"/>
    <mergeCell ref="BB37:BB38"/>
    <mergeCell ref="BB47:BB48"/>
    <mergeCell ref="AY43:AY44"/>
    <mergeCell ref="BF73:BF74"/>
    <mergeCell ref="BB29:BB30"/>
    <mergeCell ref="AU39:AU40"/>
    <mergeCell ref="BC3:BI3"/>
    <mergeCell ref="BH4:BI4"/>
    <mergeCell ref="BI5:BI6"/>
    <mergeCell ref="BI7:BI8"/>
    <mergeCell ref="BI9:BI10"/>
    <mergeCell ref="BI29:BI30"/>
    <mergeCell ref="BE4:BF4"/>
    <mergeCell ref="BF5:BF6"/>
    <mergeCell ref="BF7:BF8"/>
    <mergeCell ref="BF9:BF10"/>
    <mergeCell ref="BF25:BF26"/>
    <mergeCell ref="BI31:BI32"/>
    <mergeCell ref="BK43:BK44"/>
    <mergeCell ref="BF27:BF28"/>
    <mergeCell ref="BF29:BF30"/>
    <mergeCell ref="BF33:BF34"/>
    <mergeCell ref="BF41:BF42"/>
    <mergeCell ref="BI33:BI34"/>
    <mergeCell ref="BI35:BI36"/>
    <mergeCell ref="BI37:BI38"/>
    <mergeCell ref="BJ35:BJ36"/>
    <mergeCell ref="BK35:BK36"/>
    <mergeCell ref="BJ37:BJ38"/>
    <mergeCell ref="BF11:BF12"/>
    <mergeCell ref="BF13:BF14"/>
    <mergeCell ref="BF15:BF16"/>
    <mergeCell ref="BF17:BF18"/>
    <mergeCell ref="BF19:BF20"/>
    <mergeCell ref="BF21:BF22"/>
    <mergeCell ref="BF23:BF24"/>
    <mergeCell ref="BF31:BF32"/>
    <mergeCell ref="BJ15:BJ16"/>
    <mergeCell ref="BK15:BK16"/>
    <mergeCell ref="BJ13:BJ14"/>
    <mergeCell ref="P49:P50"/>
    <mergeCell ref="A47:A48"/>
    <mergeCell ref="B47:B48"/>
    <mergeCell ref="C47:C48"/>
    <mergeCell ref="J47:J48"/>
    <mergeCell ref="M23:M24"/>
    <mergeCell ref="C23:C24"/>
    <mergeCell ref="C21:C22"/>
    <mergeCell ref="C33:C34"/>
    <mergeCell ref="D27:D28"/>
    <mergeCell ref="D31:D32"/>
    <mergeCell ref="A37:A38"/>
    <mergeCell ref="D43:D44"/>
    <mergeCell ref="D35:D36"/>
    <mergeCell ref="A39:A40"/>
    <mergeCell ref="B43:B44"/>
    <mergeCell ref="F33:F34"/>
    <mergeCell ref="F35:F36"/>
    <mergeCell ref="A21:A22"/>
    <mergeCell ref="A23:A24"/>
    <mergeCell ref="F49:F50"/>
    <mergeCell ref="G49:G50"/>
    <mergeCell ref="D47:D48"/>
    <mergeCell ref="G47:G48"/>
    <mergeCell ref="F41:F42"/>
    <mergeCell ref="C15:C16"/>
    <mergeCell ref="C17:C18"/>
    <mergeCell ref="C19:C20"/>
    <mergeCell ref="P15:P16"/>
    <mergeCell ref="P17:P18"/>
    <mergeCell ref="M21:M22"/>
    <mergeCell ref="P19:P20"/>
    <mergeCell ref="B13:B14"/>
    <mergeCell ref="C41:C42"/>
    <mergeCell ref="C31:C32"/>
    <mergeCell ref="C27:C28"/>
    <mergeCell ref="D41:D42"/>
    <mergeCell ref="F31:F32"/>
    <mergeCell ref="B35:B36"/>
    <mergeCell ref="B15:B16"/>
    <mergeCell ref="B17:B18"/>
    <mergeCell ref="B19:B20"/>
    <mergeCell ref="B21:B22"/>
    <mergeCell ref="C25:C26"/>
    <mergeCell ref="B23:B24"/>
    <mergeCell ref="M13:M14"/>
    <mergeCell ref="P23:P24"/>
    <mergeCell ref="F15:F16"/>
    <mergeCell ref="S11:S12"/>
    <mergeCell ref="S13:S14"/>
    <mergeCell ref="C53:C54"/>
    <mergeCell ref="D45:D46"/>
    <mergeCell ref="S53:S54"/>
    <mergeCell ref="M47:M48"/>
    <mergeCell ref="P47:P48"/>
    <mergeCell ref="M41:M42"/>
    <mergeCell ref="G59:G60"/>
    <mergeCell ref="J59:J60"/>
    <mergeCell ref="G41:G42"/>
    <mergeCell ref="S37:S38"/>
    <mergeCell ref="S39:S40"/>
    <mergeCell ref="S43:S44"/>
    <mergeCell ref="P51:P52"/>
    <mergeCell ref="M51:M52"/>
    <mergeCell ref="M31:M32"/>
    <mergeCell ref="J31:J32"/>
    <mergeCell ref="P55:P56"/>
    <mergeCell ref="S35:S36"/>
    <mergeCell ref="P45:P46"/>
    <mergeCell ref="S45:S46"/>
    <mergeCell ref="P43:P44"/>
    <mergeCell ref="F43:F44"/>
    <mergeCell ref="C39:C40"/>
    <mergeCell ref="P41:P42"/>
    <mergeCell ref="P37:P38"/>
    <mergeCell ref="F19:F20"/>
    <mergeCell ref="F21:F22"/>
    <mergeCell ref="F23:F24"/>
    <mergeCell ref="D19:D20"/>
    <mergeCell ref="D21:D22"/>
    <mergeCell ref="A77:A78"/>
    <mergeCell ref="B77:B78"/>
    <mergeCell ref="A51:A52"/>
    <mergeCell ref="B51:B52"/>
    <mergeCell ref="A45:A46"/>
    <mergeCell ref="B45:B46"/>
    <mergeCell ref="A61:A62"/>
    <mergeCell ref="B61:B62"/>
    <mergeCell ref="A31:A32"/>
    <mergeCell ref="J69:J70"/>
    <mergeCell ref="C75:C76"/>
    <mergeCell ref="M57:M58"/>
    <mergeCell ref="A75:A76"/>
    <mergeCell ref="B75:B76"/>
    <mergeCell ref="J45:J46"/>
    <mergeCell ref="M45:M46"/>
    <mergeCell ref="A41:A42"/>
    <mergeCell ref="G51:G52"/>
    <mergeCell ref="G37:G38"/>
    <mergeCell ref="F51:F52"/>
    <mergeCell ref="D77:D78"/>
    <mergeCell ref="C59:C60"/>
    <mergeCell ref="C77:C78"/>
    <mergeCell ref="C51:C52"/>
    <mergeCell ref="G31:G32"/>
    <mergeCell ref="C45:C46"/>
    <mergeCell ref="F45:F46"/>
    <mergeCell ref="A49:A50"/>
    <mergeCell ref="J49:J50"/>
    <mergeCell ref="M49:M50"/>
    <mergeCell ref="D55:D56"/>
    <mergeCell ref="J51:J52"/>
    <mergeCell ref="S15:S16"/>
    <mergeCell ref="S17:S18"/>
    <mergeCell ref="S19:S20"/>
    <mergeCell ref="S21:S22"/>
    <mergeCell ref="S23:S24"/>
    <mergeCell ref="V55:V56"/>
    <mergeCell ref="AG33:AG34"/>
    <mergeCell ref="AG35:AG36"/>
    <mergeCell ref="AG37:AG38"/>
    <mergeCell ref="AG39:AG40"/>
    <mergeCell ref="AG43:AG44"/>
    <mergeCell ref="Y49:Y50"/>
    <mergeCell ref="AL43:AL44"/>
    <mergeCell ref="AL53:AL54"/>
    <mergeCell ref="AL55:AL56"/>
    <mergeCell ref="V33:V34"/>
    <mergeCell ref="Y37:Y38"/>
    <mergeCell ref="V37:V38"/>
    <mergeCell ref="S27:S28"/>
    <mergeCell ref="AA31:AA32"/>
    <mergeCell ref="Y27:Y28"/>
    <mergeCell ref="Y39:Y40"/>
    <mergeCell ref="AJ73:AJ74"/>
    <mergeCell ref="AL73:AL74"/>
    <mergeCell ref="BB15:BB16"/>
    <mergeCell ref="BB41:BB42"/>
    <mergeCell ref="BB45:BB46"/>
    <mergeCell ref="BB33:BB34"/>
    <mergeCell ref="BB17:BB18"/>
    <mergeCell ref="BB39:BB40"/>
    <mergeCell ref="BB75:BB76"/>
    <mergeCell ref="BB59:BB60"/>
    <mergeCell ref="BB27:BB28"/>
    <mergeCell ref="AS11:AS12"/>
    <mergeCell ref="AS13:AS14"/>
    <mergeCell ref="AS15:AS16"/>
    <mergeCell ref="AS17:AS18"/>
    <mergeCell ref="AS19:AS20"/>
    <mergeCell ref="AS21:AS22"/>
    <mergeCell ref="AS23:AS24"/>
    <mergeCell ref="AS31:AS32"/>
    <mergeCell ref="AU15:AU16"/>
    <mergeCell ref="AU17:AU18"/>
    <mergeCell ref="AU19:AU20"/>
    <mergeCell ref="AU21:AU22"/>
    <mergeCell ref="AU23:AU24"/>
    <mergeCell ref="AU31:AU32"/>
    <mergeCell ref="AU45:AU46"/>
    <mergeCell ref="AU51:AU52"/>
    <mergeCell ref="AU61:AU62"/>
    <mergeCell ref="AU11:AU12"/>
    <mergeCell ref="AU13:AU14"/>
    <mergeCell ref="AU41:AU42"/>
    <mergeCell ref="AU53:AU54"/>
    <mergeCell ref="BB21:BB22"/>
    <mergeCell ref="BB23:BB24"/>
    <mergeCell ref="BB31:BB32"/>
    <mergeCell ref="AY79:AY80"/>
    <mergeCell ref="AY25:AY26"/>
    <mergeCell ref="AY27:AY28"/>
    <mergeCell ref="AU75:AU76"/>
    <mergeCell ref="AY33:AY34"/>
    <mergeCell ref="AY75:AY76"/>
    <mergeCell ref="AY77:AY78"/>
    <mergeCell ref="AY71:AY72"/>
    <mergeCell ref="AY73:AY74"/>
    <mergeCell ref="AY55:AY56"/>
    <mergeCell ref="AY65:AY66"/>
    <mergeCell ref="BB77:BB78"/>
    <mergeCell ref="AY45:AY46"/>
    <mergeCell ref="AU29:AU30"/>
    <mergeCell ref="AU59:AU60"/>
    <mergeCell ref="AY49:AY50"/>
    <mergeCell ref="AY53:AY54"/>
    <mergeCell ref="AY47:AY48"/>
    <mergeCell ref="AU33:AU34"/>
    <mergeCell ref="AU35:AU36"/>
    <mergeCell ref="AU37:AU38"/>
    <mergeCell ref="AY57:AY58"/>
    <mergeCell ref="AY59:AY60"/>
    <mergeCell ref="AY69:AY70"/>
    <mergeCell ref="BB61:BB62"/>
    <mergeCell ref="BB63:BB64"/>
    <mergeCell ref="AY67:AY68"/>
    <mergeCell ref="AU69:AU70"/>
    <mergeCell ref="BJ75:BJ76"/>
    <mergeCell ref="BJ77:BJ78"/>
    <mergeCell ref="BK77:BK78"/>
    <mergeCell ref="BJ17:BJ18"/>
    <mergeCell ref="BI65:BI66"/>
    <mergeCell ref="BK17:BK18"/>
    <mergeCell ref="BJ19:BJ20"/>
    <mergeCell ref="BK19:BK20"/>
    <mergeCell ref="BJ23:BJ24"/>
    <mergeCell ref="BK23:BK24"/>
    <mergeCell ref="AY11:AY12"/>
    <mergeCell ref="AY13:AY14"/>
    <mergeCell ref="AY15:AY16"/>
    <mergeCell ref="AY17:AY18"/>
    <mergeCell ref="AY19:AY20"/>
    <mergeCell ref="AY21:AY22"/>
    <mergeCell ref="AY23:AY24"/>
    <mergeCell ref="AY31:AY32"/>
    <mergeCell ref="AY41:AY42"/>
    <mergeCell ref="BF63:BF64"/>
    <mergeCell ref="BI49:BI50"/>
    <mergeCell ref="BI41:BI42"/>
    <mergeCell ref="BI45:BI46"/>
    <mergeCell ref="BI51:BI52"/>
    <mergeCell ref="BI61:BI62"/>
    <mergeCell ref="BI63:BI64"/>
    <mergeCell ref="BF49:BF50"/>
    <mergeCell ref="BF59:BF60"/>
    <mergeCell ref="BI47:BI48"/>
    <mergeCell ref="BF47:BF48"/>
    <mergeCell ref="BB11:BB12"/>
    <mergeCell ref="BB13:BB14"/>
    <mergeCell ref="BK13:BK14"/>
    <mergeCell ref="BJ3:BK3"/>
    <mergeCell ref="BF57:BF58"/>
    <mergeCell ref="BF55:BF56"/>
    <mergeCell ref="BI43:BI44"/>
    <mergeCell ref="BI53:BI54"/>
    <mergeCell ref="BI55:BI56"/>
    <mergeCell ref="BI75:BI76"/>
    <mergeCell ref="BI77:BI78"/>
    <mergeCell ref="BI11:BI12"/>
    <mergeCell ref="BI13:BI14"/>
    <mergeCell ref="BI15:BI16"/>
    <mergeCell ref="BI17:BI18"/>
    <mergeCell ref="BI19:BI20"/>
    <mergeCell ref="BI21:BI22"/>
    <mergeCell ref="BI23:BI24"/>
    <mergeCell ref="BI25:BI26"/>
    <mergeCell ref="BI27:BI28"/>
    <mergeCell ref="BI57:BI58"/>
    <mergeCell ref="BF75:BF76"/>
    <mergeCell ref="BF77:BF78"/>
    <mergeCell ref="BF65:BF66"/>
    <mergeCell ref="BF35:BF36"/>
    <mergeCell ref="BF37:BF38"/>
    <mergeCell ref="BF39:BF40"/>
    <mergeCell ref="BF43:BF44"/>
    <mergeCell ref="BI67:BI68"/>
    <mergeCell ref="BI69:BI70"/>
    <mergeCell ref="BI71:BI72"/>
    <mergeCell ref="BF53:BF54"/>
    <mergeCell ref="BI59:BI60"/>
    <mergeCell ref="BI73:BI74"/>
    <mergeCell ref="A2:BK2"/>
    <mergeCell ref="E3:F4"/>
    <mergeCell ref="A82:BK82"/>
    <mergeCell ref="A83:A84"/>
    <mergeCell ref="B83:B84"/>
    <mergeCell ref="C83:C84"/>
    <mergeCell ref="H83:H84"/>
    <mergeCell ref="BK57:BK58"/>
    <mergeCell ref="BK49:BK50"/>
    <mergeCell ref="BK47:BK48"/>
    <mergeCell ref="BK53:BK54"/>
    <mergeCell ref="BK65:BK66"/>
    <mergeCell ref="BK67:BK68"/>
    <mergeCell ref="BK69:BK70"/>
    <mergeCell ref="BK71:BK72"/>
    <mergeCell ref="BK79:BK80"/>
    <mergeCell ref="BJ31:BJ32"/>
    <mergeCell ref="BK31:BK32"/>
    <mergeCell ref="BJ51:BJ52"/>
    <mergeCell ref="BK51:BK52"/>
    <mergeCell ref="BJ61:BJ62"/>
    <mergeCell ref="BK61:BK62"/>
    <mergeCell ref="BJ63:BJ64"/>
    <mergeCell ref="BK63:BK64"/>
    <mergeCell ref="BJ45:BJ46"/>
    <mergeCell ref="BK45:BK46"/>
    <mergeCell ref="BJ41:BJ42"/>
    <mergeCell ref="BK41:BK42"/>
    <mergeCell ref="BJ11:BJ12"/>
    <mergeCell ref="BK11:BK12"/>
    <mergeCell ref="BK75:BK76"/>
    <mergeCell ref="D83:D84"/>
    <mergeCell ref="BJ87:BJ88"/>
    <mergeCell ref="BK87:BK88"/>
    <mergeCell ref="A89:A90"/>
    <mergeCell ref="B89:B90"/>
    <mergeCell ref="C89:C90"/>
    <mergeCell ref="D89:D90"/>
    <mergeCell ref="G89:G90"/>
    <mergeCell ref="BJ89:BJ90"/>
    <mergeCell ref="BK89:BK90"/>
    <mergeCell ref="BJ85:BJ86"/>
    <mergeCell ref="BK85:BK86"/>
    <mergeCell ref="A87:A88"/>
    <mergeCell ref="B87:B88"/>
    <mergeCell ref="C87:C88"/>
    <mergeCell ref="D87:D88"/>
    <mergeCell ref="G87:G88"/>
    <mergeCell ref="A85:A86"/>
    <mergeCell ref="B85:B86"/>
    <mergeCell ref="C85:C86"/>
    <mergeCell ref="D85:D86"/>
    <mergeCell ref="G85:G86"/>
    <mergeCell ref="F85:F86"/>
    <mergeCell ref="J85:J86"/>
    <mergeCell ref="M85:M86"/>
    <mergeCell ref="P85:P86"/>
    <mergeCell ref="S85:S86"/>
    <mergeCell ref="V85:V86"/>
    <mergeCell ref="Y85:Y86"/>
    <mergeCell ref="AA85:AA86"/>
    <mergeCell ref="AC85:AC86"/>
    <mergeCell ref="AG85:AG86"/>
    <mergeCell ref="AJ85:AJ86"/>
    <mergeCell ref="BJ93:BJ94"/>
    <mergeCell ref="BK93:BK94"/>
    <mergeCell ref="A95:A96"/>
    <mergeCell ref="B95:B96"/>
    <mergeCell ref="C95:C96"/>
    <mergeCell ref="D95:D96"/>
    <mergeCell ref="G95:G96"/>
    <mergeCell ref="BJ95:BJ96"/>
    <mergeCell ref="BK95:BK96"/>
    <mergeCell ref="BJ91:BJ92"/>
    <mergeCell ref="BK91:BK92"/>
    <mergeCell ref="A93:A94"/>
    <mergeCell ref="B93:B94"/>
    <mergeCell ref="C93:C94"/>
    <mergeCell ref="D93:D94"/>
    <mergeCell ref="G93:G94"/>
    <mergeCell ref="A91:A92"/>
    <mergeCell ref="B91:B92"/>
    <mergeCell ref="C91:C92"/>
    <mergeCell ref="D91:D92"/>
    <mergeCell ref="G91:G92"/>
    <mergeCell ref="BB91:BB92"/>
    <mergeCell ref="BF91:BF92"/>
    <mergeCell ref="BI91:BI92"/>
    <mergeCell ref="Y93:Y94"/>
    <mergeCell ref="AA93:AA94"/>
    <mergeCell ref="AC93:AC94"/>
    <mergeCell ref="AG93:AG94"/>
    <mergeCell ref="AJ93:AJ94"/>
    <mergeCell ref="BJ99:BJ100"/>
    <mergeCell ref="BK99:BK100"/>
    <mergeCell ref="A101:A102"/>
    <mergeCell ref="B101:B102"/>
    <mergeCell ref="C101:C102"/>
    <mergeCell ref="D101:D102"/>
    <mergeCell ref="G101:G102"/>
    <mergeCell ref="BJ101:BJ102"/>
    <mergeCell ref="BK101:BK102"/>
    <mergeCell ref="BJ97:BJ98"/>
    <mergeCell ref="BK97:BK98"/>
    <mergeCell ref="A99:A100"/>
    <mergeCell ref="B99:B100"/>
    <mergeCell ref="C99:C100"/>
    <mergeCell ref="D99:D100"/>
    <mergeCell ref="G99:G100"/>
    <mergeCell ref="A97:A98"/>
    <mergeCell ref="B97:B98"/>
    <mergeCell ref="C97:C98"/>
    <mergeCell ref="D97:D98"/>
    <mergeCell ref="G97:G98"/>
    <mergeCell ref="F97:F98"/>
    <mergeCell ref="J97:J98"/>
    <mergeCell ref="M97:M98"/>
    <mergeCell ref="P97:P98"/>
    <mergeCell ref="S97:S98"/>
    <mergeCell ref="V97:V98"/>
    <mergeCell ref="Y97:Y98"/>
    <mergeCell ref="AA97:AA98"/>
    <mergeCell ref="AC97:AC98"/>
    <mergeCell ref="AG97:AG98"/>
    <mergeCell ref="AJ97:AJ98"/>
    <mergeCell ref="BJ105:BJ106"/>
    <mergeCell ref="BK105:BK106"/>
    <mergeCell ref="A107:A108"/>
    <mergeCell ref="B107:B108"/>
    <mergeCell ref="C107:C108"/>
    <mergeCell ref="D107:D108"/>
    <mergeCell ref="G107:G108"/>
    <mergeCell ref="BJ107:BJ108"/>
    <mergeCell ref="BK107:BK108"/>
    <mergeCell ref="BJ103:BJ104"/>
    <mergeCell ref="BK103:BK104"/>
    <mergeCell ref="A105:A106"/>
    <mergeCell ref="B105:B106"/>
    <mergeCell ref="C105:C106"/>
    <mergeCell ref="D105:D106"/>
    <mergeCell ref="G105:G106"/>
    <mergeCell ref="A103:A104"/>
    <mergeCell ref="B103:B104"/>
    <mergeCell ref="C103:C104"/>
    <mergeCell ref="D103:D104"/>
    <mergeCell ref="G103:G104"/>
    <mergeCell ref="AL105:AL106"/>
    <mergeCell ref="AP105:AP106"/>
    <mergeCell ref="AS105:AS106"/>
    <mergeCell ref="AU105:AU106"/>
    <mergeCell ref="AY105:AY106"/>
    <mergeCell ref="BB105:BB106"/>
    <mergeCell ref="BF105:BF106"/>
    <mergeCell ref="BI105:BI106"/>
    <mergeCell ref="F107:F108"/>
    <mergeCell ref="J107:J108"/>
    <mergeCell ref="M107:M108"/>
    <mergeCell ref="BJ111:BJ112"/>
    <mergeCell ref="BK111:BK112"/>
    <mergeCell ref="A113:A114"/>
    <mergeCell ref="B113:B114"/>
    <mergeCell ref="C113:C114"/>
    <mergeCell ref="D113:D114"/>
    <mergeCell ref="G113:G114"/>
    <mergeCell ref="BJ113:BJ114"/>
    <mergeCell ref="BK113:BK114"/>
    <mergeCell ref="BJ109:BJ110"/>
    <mergeCell ref="BK109:BK110"/>
    <mergeCell ref="A111:A112"/>
    <mergeCell ref="B111:B112"/>
    <mergeCell ref="C111:C112"/>
    <mergeCell ref="D111:D112"/>
    <mergeCell ref="G111:G112"/>
    <mergeCell ref="A109:A110"/>
    <mergeCell ref="B109:B110"/>
    <mergeCell ref="C109:C110"/>
    <mergeCell ref="D109:D110"/>
    <mergeCell ref="G109:G110"/>
    <mergeCell ref="F109:F110"/>
    <mergeCell ref="J109:J110"/>
    <mergeCell ref="M109:M110"/>
    <mergeCell ref="P109:P110"/>
    <mergeCell ref="S109:S110"/>
    <mergeCell ref="V109:V110"/>
    <mergeCell ref="Y109:Y110"/>
    <mergeCell ref="AA109:AA110"/>
    <mergeCell ref="AC109:AC110"/>
    <mergeCell ref="AG109:AG110"/>
    <mergeCell ref="AJ109:AJ110"/>
    <mergeCell ref="BJ117:BJ118"/>
    <mergeCell ref="BK117:BK118"/>
    <mergeCell ref="A119:A120"/>
    <mergeCell ref="B119:B120"/>
    <mergeCell ref="C119:C120"/>
    <mergeCell ref="D119:D120"/>
    <mergeCell ref="G119:G120"/>
    <mergeCell ref="BJ119:BJ120"/>
    <mergeCell ref="BK119:BK120"/>
    <mergeCell ref="BJ115:BJ116"/>
    <mergeCell ref="BK115:BK116"/>
    <mergeCell ref="A117:A118"/>
    <mergeCell ref="B117:B118"/>
    <mergeCell ref="C117:C118"/>
    <mergeCell ref="D117:D118"/>
    <mergeCell ref="G117:G118"/>
    <mergeCell ref="A115:A116"/>
    <mergeCell ref="B115:B116"/>
    <mergeCell ref="C115:C116"/>
    <mergeCell ref="D115:D116"/>
    <mergeCell ref="G115:G116"/>
    <mergeCell ref="AL117:AL118"/>
    <mergeCell ref="AP117:AP118"/>
    <mergeCell ref="AS117:AS118"/>
    <mergeCell ref="AU117:AU118"/>
    <mergeCell ref="AY117:AY118"/>
    <mergeCell ref="BB117:BB118"/>
    <mergeCell ref="BF117:BF118"/>
    <mergeCell ref="BI117:BI118"/>
    <mergeCell ref="F119:F120"/>
    <mergeCell ref="J119:J120"/>
    <mergeCell ref="M119:M120"/>
    <mergeCell ref="BJ123:BJ124"/>
    <mergeCell ref="BK123:BK124"/>
    <mergeCell ref="A125:A126"/>
    <mergeCell ref="B125:B126"/>
    <mergeCell ref="C125:C126"/>
    <mergeCell ref="D125:D126"/>
    <mergeCell ref="G125:G126"/>
    <mergeCell ref="BJ125:BJ126"/>
    <mergeCell ref="BK125:BK126"/>
    <mergeCell ref="BJ121:BJ122"/>
    <mergeCell ref="BK121:BK122"/>
    <mergeCell ref="A123:A124"/>
    <mergeCell ref="B123:B124"/>
    <mergeCell ref="C123:C124"/>
    <mergeCell ref="D123:D124"/>
    <mergeCell ref="G123:G124"/>
    <mergeCell ref="A121:A122"/>
    <mergeCell ref="B121:B122"/>
    <mergeCell ref="C121:C122"/>
    <mergeCell ref="D121:D122"/>
    <mergeCell ref="G121:G122"/>
    <mergeCell ref="F121:F122"/>
    <mergeCell ref="J121:J122"/>
    <mergeCell ref="M121:M122"/>
    <mergeCell ref="P121:P122"/>
    <mergeCell ref="S121:S122"/>
    <mergeCell ref="V121:V122"/>
    <mergeCell ref="Y121:Y122"/>
    <mergeCell ref="AA121:AA122"/>
    <mergeCell ref="AC121:AC122"/>
    <mergeCell ref="AG121:AG122"/>
    <mergeCell ref="AJ121:AJ122"/>
    <mergeCell ref="BJ129:BJ130"/>
    <mergeCell ref="BK129:BK130"/>
    <mergeCell ref="A131:A132"/>
    <mergeCell ref="B131:B132"/>
    <mergeCell ref="C131:C132"/>
    <mergeCell ref="D131:D132"/>
    <mergeCell ref="G131:G132"/>
    <mergeCell ref="BJ131:BJ132"/>
    <mergeCell ref="BK131:BK132"/>
    <mergeCell ref="BJ127:BJ128"/>
    <mergeCell ref="BK127:BK128"/>
    <mergeCell ref="A129:A130"/>
    <mergeCell ref="B129:B130"/>
    <mergeCell ref="C129:C130"/>
    <mergeCell ref="D129:D130"/>
    <mergeCell ref="G129:G130"/>
    <mergeCell ref="A127:A128"/>
    <mergeCell ref="B127:B128"/>
    <mergeCell ref="C127:C128"/>
    <mergeCell ref="D127:D128"/>
    <mergeCell ref="G127:G128"/>
    <mergeCell ref="AL129:AL130"/>
    <mergeCell ref="AP129:AP130"/>
    <mergeCell ref="AS129:AS130"/>
    <mergeCell ref="AU129:AU130"/>
    <mergeCell ref="AY129:AY130"/>
    <mergeCell ref="BB129:BB130"/>
    <mergeCell ref="BF129:BF130"/>
    <mergeCell ref="BI129:BI130"/>
    <mergeCell ref="F131:F132"/>
    <mergeCell ref="J131:J132"/>
    <mergeCell ref="M131:M132"/>
    <mergeCell ref="BJ135:BJ136"/>
    <mergeCell ref="BK135:BK136"/>
    <mergeCell ref="A137:A138"/>
    <mergeCell ref="B137:B138"/>
    <mergeCell ref="C137:C138"/>
    <mergeCell ref="D137:D138"/>
    <mergeCell ref="G137:G138"/>
    <mergeCell ref="BJ137:BJ138"/>
    <mergeCell ref="BK137:BK138"/>
    <mergeCell ref="BJ133:BJ134"/>
    <mergeCell ref="BK133:BK134"/>
    <mergeCell ref="A135:A136"/>
    <mergeCell ref="B135:B136"/>
    <mergeCell ref="C135:C136"/>
    <mergeCell ref="D135:D136"/>
    <mergeCell ref="G135:G136"/>
    <mergeCell ref="A133:A134"/>
    <mergeCell ref="B133:B134"/>
    <mergeCell ref="C133:C134"/>
    <mergeCell ref="D133:D134"/>
    <mergeCell ref="G133:G134"/>
    <mergeCell ref="F133:F134"/>
    <mergeCell ref="J133:J134"/>
    <mergeCell ref="M133:M134"/>
    <mergeCell ref="P133:P134"/>
    <mergeCell ref="S133:S134"/>
    <mergeCell ref="V133:V134"/>
    <mergeCell ref="Y133:Y134"/>
    <mergeCell ref="AA133:AA134"/>
    <mergeCell ref="AC133:AC134"/>
    <mergeCell ref="AG133:AG134"/>
    <mergeCell ref="AJ133:AJ134"/>
    <mergeCell ref="BK141:BK142"/>
    <mergeCell ref="A143:A144"/>
    <mergeCell ref="B143:B144"/>
    <mergeCell ref="C143:C144"/>
    <mergeCell ref="D143:D144"/>
    <mergeCell ref="G143:G144"/>
    <mergeCell ref="BJ143:BJ144"/>
    <mergeCell ref="BK143:BK144"/>
    <mergeCell ref="BJ139:BJ140"/>
    <mergeCell ref="BK139:BK140"/>
    <mergeCell ref="A141:A142"/>
    <mergeCell ref="B141:B142"/>
    <mergeCell ref="C141:C142"/>
    <mergeCell ref="D141:D142"/>
    <mergeCell ref="G141:G142"/>
    <mergeCell ref="A139:A140"/>
    <mergeCell ref="B139:B140"/>
    <mergeCell ref="C139:C140"/>
    <mergeCell ref="D139:D140"/>
    <mergeCell ref="G139:G140"/>
    <mergeCell ref="Y143:Y144"/>
    <mergeCell ref="AA143:AA144"/>
    <mergeCell ref="AC143:AC144"/>
    <mergeCell ref="AG143:AG144"/>
    <mergeCell ref="AJ143:AJ144"/>
    <mergeCell ref="AL143:AL144"/>
    <mergeCell ref="AP143:AP144"/>
    <mergeCell ref="AS143:AS144"/>
    <mergeCell ref="AU143:AU144"/>
    <mergeCell ref="AY143:AY144"/>
    <mergeCell ref="BB143:BB144"/>
    <mergeCell ref="BF143:BF144"/>
    <mergeCell ref="A145:A146"/>
    <mergeCell ref="B145:B146"/>
    <mergeCell ref="C145:C146"/>
    <mergeCell ref="D145:D146"/>
    <mergeCell ref="G145:G146"/>
    <mergeCell ref="F145:F146"/>
    <mergeCell ref="J145:J146"/>
    <mergeCell ref="M145:M146"/>
    <mergeCell ref="P145:P146"/>
    <mergeCell ref="S145:S146"/>
    <mergeCell ref="V145:V146"/>
    <mergeCell ref="Y145:Y146"/>
    <mergeCell ref="AA145:AA146"/>
    <mergeCell ref="AC145:AC146"/>
    <mergeCell ref="AG145:AG146"/>
    <mergeCell ref="AJ145:AJ146"/>
    <mergeCell ref="BJ141:BJ142"/>
    <mergeCell ref="BJ145:BJ146"/>
    <mergeCell ref="AL141:AL142"/>
    <mergeCell ref="AP141:AP142"/>
    <mergeCell ref="AS141:AS142"/>
    <mergeCell ref="AU141:AU142"/>
    <mergeCell ref="AY141:AY142"/>
    <mergeCell ref="BB141:BB142"/>
    <mergeCell ref="BF141:BF142"/>
    <mergeCell ref="BI141:BI142"/>
    <mergeCell ref="F143:F144"/>
    <mergeCell ref="J143:J144"/>
    <mergeCell ref="M143:M144"/>
    <mergeCell ref="P143:P144"/>
    <mergeCell ref="S143:S144"/>
    <mergeCell ref="V143:V144"/>
    <mergeCell ref="A153:A154"/>
    <mergeCell ref="B153:B154"/>
    <mergeCell ref="C153:C154"/>
    <mergeCell ref="D153:D154"/>
    <mergeCell ref="G153:G154"/>
    <mergeCell ref="A151:A152"/>
    <mergeCell ref="B151:B152"/>
    <mergeCell ref="C151:C152"/>
    <mergeCell ref="D151:D152"/>
    <mergeCell ref="G151:G152"/>
    <mergeCell ref="BJ147:BJ148"/>
    <mergeCell ref="BK147:BK148"/>
    <mergeCell ref="A149:A150"/>
    <mergeCell ref="B149:B150"/>
    <mergeCell ref="C149:C150"/>
    <mergeCell ref="D149:D150"/>
    <mergeCell ref="G149:G150"/>
    <mergeCell ref="BJ149:BJ150"/>
    <mergeCell ref="BK149:BK150"/>
    <mergeCell ref="A147:A148"/>
    <mergeCell ref="B147:B148"/>
    <mergeCell ref="C147:C148"/>
    <mergeCell ref="D147:D148"/>
    <mergeCell ref="G147:G148"/>
    <mergeCell ref="BJ153:BJ154"/>
    <mergeCell ref="BK153:BK154"/>
    <mergeCell ref="BJ151:BJ152"/>
    <mergeCell ref="BK151:BK152"/>
    <mergeCell ref="F147:F148"/>
    <mergeCell ref="J147:J148"/>
    <mergeCell ref="M147:M148"/>
    <mergeCell ref="P147:P148"/>
    <mergeCell ref="E83:F84"/>
    <mergeCell ref="G83:G84"/>
    <mergeCell ref="AB83:AJ83"/>
    <mergeCell ref="AK83:AS83"/>
    <mergeCell ref="AT83:BB83"/>
    <mergeCell ref="BC83:BI83"/>
    <mergeCell ref="BJ83:BK83"/>
    <mergeCell ref="I84:J84"/>
    <mergeCell ref="L84:M84"/>
    <mergeCell ref="O84:P84"/>
    <mergeCell ref="R84:S84"/>
    <mergeCell ref="U84:V84"/>
    <mergeCell ref="X84:Y84"/>
    <mergeCell ref="Z84:AA84"/>
    <mergeCell ref="AB84:AC84"/>
    <mergeCell ref="AF84:AG84"/>
    <mergeCell ref="AI84:AJ84"/>
    <mergeCell ref="AK84:AL84"/>
    <mergeCell ref="AO84:AP84"/>
    <mergeCell ref="AR84:AS84"/>
    <mergeCell ref="AT84:AU84"/>
    <mergeCell ref="AX84:AY84"/>
    <mergeCell ref="BA84:BB84"/>
    <mergeCell ref="BE84:BF84"/>
    <mergeCell ref="BH84:BI84"/>
    <mergeCell ref="BK145:BK146"/>
    <mergeCell ref="BF85:BF86"/>
    <mergeCell ref="BI85:BI86"/>
    <mergeCell ref="F87:F88"/>
    <mergeCell ref="J87:J88"/>
    <mergeCell ref="M87:M88"/>
    <mergeCell ref="P87:P88"/>
    <mergeCell ref="S87:S88"/>
    <mergeCell ref="V87:V88"/>
    <mergeCell ref="Y87:Y88"/>
    <mergeCell ref="AA87:AA88"/>
    <mergeCell ref="AC87:AC88"/>
    <mergeCell ref="AG87:AG88"/>
    <mergeCell ref="AJ87:AJ88"/>
    <mergeCell ref="AL87:AL88"/>
    <mergeCell ref="AP87:AP88"/>
    <mergeCell ref="AS87:AS88"/>
    <mergeCell ref="AU87:AU88"/>
    <mergeCell ref="AY87:AY88"/>
    <mergeCell ref="BB87:BB88"/>
    <mergeCell ref="BF87:BF88"/>
    <mergeCell ref="BI87:BI88"/>
    <mergeCell ref="V89:V90"/>
    <mergeCell ref="Y89:Y90"/>
    <mergeCell ref="AA89:AA90"/>
    <mergeCell ref="AC89:AC90"/>
    <mergeCell ref="AG89:AG90"/>
    <mergeCell ref="AJ89:AJ90"/>
    <mergeCell ref="AL89:AL90"/>
    <mergeCell ref="AP89:AP90"/>
    <mergeCell ref="AS89:AS90"/>
    <mergeCell ref="AU89:AU90"/>
    <mergeCell ref="AY89:AY90"/>
    <mergeCell ref="BB89:BB90"/>
    <mergeCell ref="AL85:AL86"/>
    <mergeCell ref="AP85:AP86"/>
    <mergeCell ref="AS85:AS86"/>
    <mergeCell ref="AU85:AU86"/>
    <mergeCell ref="AY85:AY86"/>
    <mergeCell ref="BB85:BB86"/>
    <mergeCell ref="AL93:AL94"/>
    <mergeCell ref="AP93:AP94"/>
    <mergeCell ref="AS93:AS94"/>
    <mergeCell ref="AU93:AU94"/>
    <mergeCell ref="AY93:AY94"/>
    <mergeCell ref="BB93:BB94"/>
    <mergeCell ref="BF89:BF90"/>
    <mergeCell ref="BI89:BI90"/>
    <mergeCell ref="F91:F92"/>
    <mergeCell ref="J91:J92"/>
    <mergeCell ref="M91:M92"/>
    <mergeCell ref="P91:P92"/>
    <mergeCell ref="S91:S92"/>
    <mergeCell ref="V91:V92"/>
    <mergeCell ref="Y91:Y92"/>
    <mergeCell ref="AA91:AA92"/>
    <mergeCell ref="AC91:AC92"/>
    <mergeCell ref="AG91:AG92"/>
    <mergeCell ref="AJ91:AJ92"/>
    <mergeCell ref="AL91:AL92"/>
    <mergeCell ref="AP91:AP92"/>
    <mergeCell ref="AS91:AS92"/>
    <mergeCell ref="AU91:AU92"/>
    <mergeCell ref="AY91:AY92"/>
    <mergeCell ref="F89:F90"/>
    <mergeCell ref="J89:J90"/>
    <mergeCell ref="M89:M90"/>
    <mergeCell ref="P89:P90"/>
    <mergeCell ref="S89:S90"/>
    <mergeCell ref="BF93:BF94"/>
    <mergeCell ref="BI93:BI94"/>
    <mergeCell ref="F95:F96"/>
    <mergeCell ref="J95:J96"/>
    <mergeCell ref="M95:M96"/>
    <mergeCell ref="P95:P96"/>
    <mergeCell ref="S95:S96"/>
    <mergeCell ref="V95:V96"/>
    <mergeCell ref="Y95:Y96"/>
    <mergeCell ref="AA95:AA96"/>
    <mergeCell ref="AC95:AC96"/>
    <mergeCell ref="AG95:AG96"/>
    <mergeCell ref="AJ95:AJ96"/>
    <mergeCell ref="AL95:AL96"/>
    <mergeCell ref="AP95:AP96"/>
    <mergeCell ref="AS95:AS96"/>
    <mergeCell ref="AU95:AU96"/>
    <mergeCell ref="AY95:AY96"/>
    <mergeCell ref="BB95:BB96"/>
    <mergeCell ref="BF95:BF96"/>
    <mergeCell ref="BI95:BI96"/>
    <mergeCell ref="F93:F94"/>
    <mergeCell ref="J93:J94"/>
    <mergeCell ref="M93:M94"/>
    <mergeCell ref="P93:P94"/>
    <mergeCell ref="S93:S94"/>
    <mergeCell ref="V93:V94"/>
    <mergeCell ref="AL97:AL98"/>
    <mergeCell ref="AP97:AP98"/>
    <mergeCell ref="AS97:AS98"/>
    <mergeCell ref="AU97:AU98"/>
    <mergeCell ref="AY97:AY98"/>
    <mergeCell ref="BB97:BB98"/>
    <mergeCell ref="BF97:BF98"/>
    <mergeCell ref="BI97:BI98"/>
    <mergeCell ref="F99:F100"/>
    <mergeCell ref="J99:J100"/>
    <mergeCell ref="M99:M100"/>
    <mergeCell ref="P99:P100"/>
    <mergeCell ref="S99:S100"/>
    <mergeCell ref="V99:V100"/>
    <mergeCell ref="Y99:Y100"/>
    <mergeCell ref="AA99:AA100"/>
    <mergeCell ref="AC99:AC100"/>
    <mergeCell ref="AG99:AG100"/>
    <mergeCell ref="AJ99:AJ100"/>
    <mergeCell ref="AL99:AL100"/>
    <mergeCell ref="AP99:AP100"/>
    <mergeCell ref="AS99:AS100"/>
    <mergeCell ref="AU99:AU100"/>
    <mergeCell ref="AY99:AY100"/>
    <mergeCell ref="BB99:BB100"/>
    <mergeCell ref="BF99:BF100"/>
    <mergeCell ref="BI99:BI100"/>
    <mergeCell ref="F101:F102"/>
    <mergeCell ref="J101:J102"/>
    <mergeCell ref="M101:M102"/>
    <mergeCell ref="P101:P102"/>
    <mergeCell ref="S101:S102"/>
    <mergeCell ref="V101:V102"/>
    <mergeCell ref="Y101:Y102"/>
    <mergeCell ref="AA101:AA102"/>
    <mergeCell ref="AC101:AC102"/>
    <mergeCell ref="AG101:AG102"/>
    <mergeCell ref="AJ101:AJ102"/>
    <mergeCell ref="AL101:AL102"/>
    <mergeCell ref="AP101:AP102"/>
    <mergeCell ref="AS101:AS102"/>
    <mergeCell ref="AU101:AU102"/>
    <mergeCell ref="AY101:AY102"/>
    <mergeCell ref="BB101:BB102"/>
    <mergeCell ref="F105:F106"/>
    <mergeCell ref="J105:J106"/>
    <mergeCell ref="M105:M106"/>
    <mergeCell ref="P105:P106"/>
    <mergeCell ref="S105:S106"/>
    <mergeCell ref="V105:V106"/>
    <mergeCell ref="Y105:Y106"/>
    <mergeCell ref="AA105:AA106"/>
    <mergeCell ref="AC105:AC106"/>
    <mergeCell ref="AG105:AG106"/>
    <mergeCell ref="AJ105:AJ106"/>
    <mergeCell ref="BF101:BF102"/>
    <mergeCell ref="BI101:BI102"/>
    <mergeCell ref="F103:F104"/>
    <mergeCell ref="J103:J104"/>
    <mergeCell ref="M103:M104"/>
    <mergeCell ref="P103:P104"/>
    <mergeCell ref="S103:S104"/>
    <mergeCell ref="V103:V104"/>
    <mergeCell ref="Y103:Y104"/>
    <mergeCell ref="AA103:AA104"/>
    <mergeCell ref="AC103:AC104"/>
    <mergeCell ref="AG103:AG104"/>
    <mergeCell ref="AJ103:AJ104"/>
    <mergeCell ref="AL103:AL104"/>
    <mergeCell ref="AP103:AP104"/>
    <mergeCell ref="AS103:AS104"/>
    <mergeCell ref="AU103:AU104"/>
    <mergeCell ref="AY103:AY104"/>
    <mergeCell ref="BB103:BB104"/>
    <mergeCell ref="BF103:BF104"/>
    <mergeCell ref="BI103:BI104"/>
    <mergeCell ref="BI111:BI112"/>
    <mergeCell ref="P107:P108"/>
    <mergeCell ref="S107:S108"/>
    <mergeCell ref="V107:V108"/>
    <mergeCell ref="Y107:Y108"/>
    <mergeCell ref="AA107:AA108"/>
    <mergeCell ref="AC107:AC108"/>
    <mergeCell ref="AG107:AG108"/>
    <mergeCell ref="AJ107:AJ108"/>
    <mergeCell ref="AL107:AL108"/>
    <mergeCell ref="AP107:AP108"/>
    <mergeCell ref="AS107:AS108"/>
    <mergeCell ref="AU107:AU108"/>
    <mergeCell ref="AY107:AY108"/>
    <mergeCell ref="BB107:BB108"/>
    <mergeCell ref="BF107:BF108"/>
    <mergeCell ref="BI107:BI108"/>
    <mergeCell ref="AL113:AL114"/>
    <mergeCell ref="AP113:AP114"/>
    <mergeCell ref="AS113:AS114"/>
    <mergeCell ref="AU113:AU114"/>
    <mergeCell ref="AY113:AY114"/>
    <mergeCell ref="BB113:BB114"/>
    <mergeCell ref="AL109:AL110"/>
    <mergeCell ref="AP109:AP110"/>
    <mergeCell ref="AS109:AS110"/>
    <mergeCell ref="AU109:AU110"/>
    <mergeCell ref="AY109:AY110"/>
    <mergeCell ref="BB109:BB110"/>
    <mergeCell ref="BF109:BF110"/>
    <mergeCell ref="BI109:BI110"/>
    <mergeCell ref="F111:F112"/>
    <mergeCell ref="J111:J112"/>
    <mergeCell ref="M111:M112"/>
    <mergeCell ref="P111:P112"/>
    <mergeCell ref="S111:S112"/>
    <mergeCell ref="V111:V112"/>
    <mergeCell ref="Y111:Y112"/>
    <mergeCell ref="AA111:AA112"/>
    <mergeCell ref="AC111:AC112"/>
    <mergeCell ref="AG111:AG112"/>
    <mergeCell ref="AJ111:AJ112"/>
    <mergeCell ref="AL111:AL112"/>
    <mergeCell ref="AP111:AP112"/>
    <mergeCell ref="AS111:AS112"/>
    <mergeCell ref="AU111:AU112"/>
    <mergeCell ref="AY111:AY112"/>
    <mergeCell ref="BB111:BB112"/>
    <mergeCell ref="BF111:BF112"/>
    <mergeCell ref="BF113:BF114"/>
    <mergeCell ref="BI113:BI114"/>
    <mergeCell ref="F115:F116"/>
    <mergeCell ref="J115:J116"/>
    <mergeCell ref="M115:M116"/>
    <mergeCell ref="P115:P116"/>
    <mergeCell ref="S115:S116"/>
    <mergeCell ref="V115:V116"/>
    <mergeCell ref="Y115:Y116"/>
    <mergeCell ref="AA115:AA116"/>
    <mergeCell ref="AC115:AC116"/>
    <mergeCell ref="AG115:AG116"/>
    <mergeCell ref="AJ115:AJ116"/>
    <mergeCell ref="AL115:AL116"/>
    <mergeCell ref="AP115:AP116"/>
    <mergeCell ref="AS115:AS116"/>
    <mergeCell ref="AU115:AU116"/>
    <mergeCell ref="AY115:AY116"/>
    <mergeCell ref="BB115:BB116"/>
    <mergeCell ref="BF115:BF116"/>
    <mergeCell ref="BI115:BI116"/>
    <mergeCell ref="F113:F114"/>
    <mergeCell ref="J113:J114"/>
    <mergeCell ref="M113:M114"/>
    <mergeCell ref="P113:P114"/>
    <mergeCell ref="S113:S114"/>
    <mergeCell ref="V113:V114"/>
    <mergeCell ref="Y113:Y114"/>
    <mergeCell ref="AA113:AA114"/>
    <mergeCell ref="AC113:AC114"/>
    <mergeCell ref="AG113:AG114"/>
    <mergeCell ref="AJ113:AJ114"/>
    <mergeCell ref="P119:P120"/>
    <mergeCell ref="S119:S120"/>
    <mergeCell ref="V119:V120"/>
    <mergeCell ref="Y119:Y120"/>
    <mergeCell ref="AA119:AA120"/>
    <mergeCell ref="AC119:AC120"/>
    <mergeCell ref="AG119:AG120"/>
    <mergeCell ref="AJ119:AJ120"/>
    <mergeCell ref="AL119:AL120"/>
    <mergeCell ref="AP119:AP120"/>
    <mergeCell ref="AS119:AS120"/>
    <mergeCell ref="AU119:AU120"/>
    <mergeCell ref="AY119:AY120"/>
    <mergeCell ref="BB119:BB120"/>
    <mergeCell ref="BF119:BF120"/>
    <mergeCell ref="BI119:BI120"/>
    <mergeCell ref="F117:F118"/>
    <mergeCell ref="J117:J118"/>
    <mergeCell ref="M117:M118"/>
    <mergeCell ref="P117:P118"/>
    <mergeCell ref="S117:S118"/>
    <mergeCell ref="V117:V118"/>
    <mergeCell ref="Y117:Y118"/>
    <mergeCell ref="AA117:AA118"/>
    <mergeCell ref="AC117:AC118"/>
    <mergeCell ref="AG117:AG118"/>
    <mergeCell ref="AJ117:AJ118"/>
    <mergeCell ref="AL121:AL122"/>
    <mergeCell ref="AP121:AP122"/>
    <mergeCell ref="AS121:AS122"/>
    <mergeCell ref="AU121:AU122"/>
    <mergeCell ref="AY121:AY122"/>
    <mergeCell ref="BB121:BB122"/>
    <mergeCell ref="BF121:BF122"/>
    <mergeCell ref="BI121:BI122"/>
    <mergeCell ref="F123:F124"/>
    <mergeCell ref="J123:J124"/>
    <mergeCell ref="M123:M124"/>
    <mergeCell ref="P123:P124"/>
    <mergeCell ref="S123:S124"/>
    <mergeCell ref="V123:V124"/>
    <mergeCell ref="Y123:Y124"/>
    <mergeCell ref="AA123:AA124"/>
    <mergeCell ref="AC123:AC124"/>
    <mergeCell ref="AG123:AG124"/>
    <mergeCell ref="AJ123:AJ124"/>
    <mergeCell ref="AL123:AL124"/>
    <mergeCell ref="AP123:AP124"/>
    <mergeCell ref="AS123:AS124"/>
    <mergeCell ref="AU123:AU124"/>
    <mergeCell ref="AY123:AY124"/>
    <mergeCell ref="BB123:BB124"/>
    <mergeCell ref="BF123:BF124"/>
    <mergeCell ref="BI123:BI124"/>
    <mergeCell ref="F125:F126"/>
    <mergeCell ref="J125:J126"/>
    <mergeCell ref="M125:M126"/>
    <mergeCell ref="P125:P126"/>
    <mergeCell ref="S125:S126"/>
    <mergeCell ref="V125:V126"/>
    <mergeCell ref="Y125:Y126"/>
    <mergeCell ref="AA125:AA126"/>
    <mergeCell ref="AC125:AC126"/>
    <mergeCell ref="AG125:AG126"/>
    <mergeCell ref="AJ125:AJ126"/>
    <mergeCell ref="AL125:AL126"/>
    <mergeCell ref="AP125:AP126"/>
    <mergeCell ref="AS125:AS126"/>
    <mergeCell ref="AU125:AU126"/>
    <mergeCell ref="AY125:AY126"/>
    <mergeCell ref="BB125:BB126"/>
    <mergeCell ref="F129:F130"/>
    <mergeCell ref="J129:J130"/>
    <mergeCell ref="M129:M130"/>
    <mergeCell ref="P129:P130"/>
    <mergeCell ref="S129:S130"/>
    <mergeCell ref="V129:V130"/>
    <mergeCell ref="Y129:Y130"/>
    <mergeCell ref="AA129:AA130"/>
    <mergeCell ref="AC129:AC130"/>
    <mergeCell ref="AG129:AG130"/>
    <mergeCell ref="AJ129:AJ130"/>
    <mergeCell ref="BF125:BF126"/>
    <mergeCell ref="BI125:BI126"/>
    <mergeCell ref="F127:F128"/>
    <mergeCell ref="J127:J128"/>
    <mergeCell ref="M127:M128"/>
    <mergeCell ref="P127:P128"/>
    <mergeCell ref="S127:S128"/>
    <mergeCell ref="V127:V128"/>
    <mergeCell ref="Y127:Y128"/>
    <mergeCell ref="AA127:AA128"/>
    <mergeCell ref="AC127:AC128"/>
    <mergeCell ref="AG127:AG128"/>
    <mergeCell ref="AJ127:AJ128"/>
    <mergeCell ref="AL127:AL128"/>
    <mergeCell ref="AP127:AP128"/>
    <mergeCell ref="AS127:AS128"/>
    <mergeCell ref="AU127:AU128"/>
    <mergeCell ref="AY127:AY128"/>
    <mergeCell ref="BB127:BB128"/>
    <mergeCell ref="BF127:BF128"/>
    <mergeCell ref="BI127:BI128"/>
    <mergeCell ref="BI135:BI136"/>
    <mergeCell ref="P131:P132"/>
    <mergeCell ref="S131:S132"/>
    <mergeCell ref="V131:V132"/>
    <mergeCell ref="Y131:Y132"/>
    <mergeCell ref="AA131:AA132"/>
    <mergeCell ref="AC131:AC132"/>
    <mergeCell ref="AG131:AG132"/>
    <mergeCell ref="AJ131:AJ132"/>
    <mergeCell ref="AL131:AL132"/>
    <mergeCell ref="AP131:AP132"/>
    <mergeCell ref="AS131:AS132"/>
    <mergeCell ref="AU131:AU132"/>
    <mergeCell ref="AY131:AY132"/>
    <mergeCell ref="BB131:BB132"/>
    <mergeCell ref="BF131:BF132"/>
    <mergeCell ref="BI131:BI132"/>
    <mergeCell ref="AL137:AL138"/>
    <mergeCell ref="AP137:AP138"/>
    <mergeCell ref="AS137:AS138"/>
    <mergeCell ref="AU137:AU138"/>
    <mergeCell ref="AY137:AY138"/>
    <mergeCell ref="BB137:BB138"/>
    <mergeCell ref="AL133:AL134"/>
    <mergeCell ref="AP133:AP134"/>
    <mergeCell ref="AS133:AS134"/>
    <mergeCell ref="AU133:AU134"/>
    <mergeCell ref="AY133:AY134"/>
    <mergeCell ref="BB133:BB134"/>
    <mergeCell ref="BF133:BF134"/>
    <mergeCell ref="BI133:BI134"/>
    <mergeCell ref="F135:F136"/>
    <mergeCell ref="J135:J136"/>
    <mergeCell ref="M135:M136"/>
    <mergeCell ref="P135:P136"/>
    <mergeCell ref="S135:S136"/>
    <mergeCell ref="V135:V136"/>
    <mergeCell ref="Y135:Y136"/>
    <mergeCell ref="AA135:AA136"/>
    <mergeCell ref="AC135:AC136"/>
    <mergeCell ref="AG135:AG136"/>
    <mergeCell ref="AJ135:AJ136"/>
    <mergeCell ref="AL135:AL136"/>
    <mergeCell ref="AP135:AP136"/>
    <mergeCell ref="AS135:AS136"/>
    <mergeCell ref="AU135:AU136"/>
    <mergeCell ref="AY135:AY136"/>
    <mergeCell ref="BB135:BB136"/>
    <mergeCell ref="BF135:BF136"/>
    <mergeCell ref="BF137:BF138"/>
    <mergeCell ref="BI137:BI138"/>
    <mergeCell ref="F139:F140"/>
    <mergeCell ref="J139:J140"/>
    <mergeCell ref="M139:M140"/>
    <mergeCell ref="P139:P140"/>
    <mergeCell ref="S139:S140"/>
    <mergeCell ref="V139:V140"/>
    <mergeCell ref="Y139:Y140"/>
    <mergeCell ref="AA139:AA140"/>
    <mergeCell ref="AC139:AC140"/>
    <mergeCell ref="AG139:AG140"/>
    <mergeCell ref="AJ139:AJ140"/>
    <mergeCell ref="AL139:AL140"/>
    <mergeCell ref="AP139:AP140"/>
    <mergeCell ref="AS139:AS140"/>
    <mergeCell ref="AU139:AU140"/>
    <mergeCell ref="AY139:AY140"/>
    <mergeCell ref="BB139:BB140"/>
    <mergeCell ref="BF139:BF140"/>
    <mergeCell ref="BI139:BI140"/>
    <mergeCell ref="F137:F138"/>
    <mergeCell ref="J137:J138"/>
    <mergeCell ref="M137:M138"/>
    <mergeCell ref="P137:P138"/>
    <mergeCell ref="S137:S138"/>
    <mergeCell ref="V137:V138"/>
    <mergeCell ref="Y137:Y138"/>
    <mergeCell ref="AA137:AA138"/>
    <mergeCell ref="AC137:AC138"/>
    <mergeCell ref="AG137:AG138"/>
    <mergeCell ref="AJ137:AJ138"/>
    <mergeCell ref="BI143:BI144"/>
    <mergeCell ref="F141:F142"/>
    <mergeCell ref="J141:J142"/>
    <mergeCell ref="M141:M142"/>
    <mergeCell ref="P141:P142"/>
    <mergeCell ref="S141:S142"/>
    <mergeCell ref="V141:V142"/>
    <mergeCell ref="Y141:Y142"/>
    <mergeCell ref="AA141:AA142"/>
    <mergeCell ref="AC141:AC142"/>
    <mergeCell ref="AG141:AG142"/>
    <mergeCell ref="AJ141:AJ142"/>
    <mergeCell ref="AL145:AL146"/>
    <mergeCell ref="AP145:AP146"/>
    <mergeCell ref="AS145:AS146"/>
    <mergeCell ref="AU145:AU146"/>
    <mergeCell ref="AY145:AY146"/>
    <mergeCell ref="BB145:BB146"/>
    <mergeCell ref="BF145:BF146"/>
    <mergeCell ref="BI145:BI146"/>
    <mergeCell ref="S147:S148"/>
    <mergeCell ref="V147:V148"/>
    <mergeCell ref="Y147:Y148"/>
    <mergeCell ref="AA147:AA148"/>
    <mergeCell ref="AC147:AC148"/>
    <mergeCell ref="AG147:AG148"/>
    <mergeCell ref="AJ147:AJ148"/>
    <mergeCell ref="AL147:AL148"/>
    <mergeCell ref="AP147:AP148"/>
    <mergeCell ref="AS147:AS148"/>
    <mergeCell ref="AU147:AU148"/>
    <mergeCell ref="AY147:AY148"/>
    <mergeCell ref="BB147:BB148"/>
    <mergeCell ref="BF147:BF148"/>
    <mergeCell ref="BI147:BI148"/>
    <mergeCell ref="AG151:AG152"/>
    <mergeCell ref="AJ151:AJ152"/>
    <mergeCell ref="AL151:AL152"/>
    <mergeCell ref="AP151:AP152"/>
    <mergeCell ref="AS151:AS152"/>
    <mergeCell ref="AU151:AU152"/>
    <mergeCell ref="AY151:AY152"/>
    <mergeCell ref="BB151:BB152"/>
    <mergeCell ref="BF151:BF152"/>
    <mergeCell ref="BI151:BI152"/>
    <mergeCell ref="F149:F150"/>
    <mergeCell ref="J149:J150"/>
    <mergeCell ref="M149:M150"/>
    <mergeCell ref="P149:P150"/>
    <mergeCell ref="S149:S150"/>
    <mergeCell ref="V149:V150"/>
    <mergeCell ref="Y149:Y150"/>
    <mergeCell ref="AA149:AA150"/>
    <mergeCell ref="AC149:AC150"/>
    <mergeCell ref="AG149:AG150"/>
    <mergeCell ref="AJ149:AJ150"/>
    <mergeCell ref="AL149:AL150"/>
    <mergeCell ref="AP149:AP150"/>
    <mergeCell ref="AS149:AS150"/>
    <mergeCell ref="AU149:AU150"/>
    <mergeCell ref="AY149:AY150"/>
    <mergeCell ref="BB149:BB150"/>
    <mergeCell ref="I3:AA3"/>
    <mergeCell ref="I83:AA83"/>
    <mergeCell ref="BF153:BF154"/>
    <mergeCell ref="BI153:BI154"/>
    <mergeCell ref="F153:F154"/>
    <mergeCell ref="J153:J154"/>
    <mergeCell ref="M153:M154"/>
    <mergeCell ref="P153:P154"/>
    <mergeCell ref="S153:S154"/>
    <mergeCell ref="V153:V154"/>
    <mergeCell ref="Y153:Y154"/>
    <mergeCell ref="AA153:AA154"/>
    <mergeCell ref="AC153:AC154"/>
    <mergeCell ref="AG153:AG154"/>
    <mergeCell ref="AJ153:AJ154"/>
    <mergeCell ref="AL153:AL154"/>
    <mergeCell ref="AP153:AP154"/>
    <mergeCell ref="AS153:AS154"/>
    <mergeCell ref="AU153:AU154"/>
    <mergeCell ref="AY153:AY154"/>
    <mergeCell ref="BB153:BB154"/>
    <mergeCell ref="BF149:BF150"/>
    <mergeCell ref="BI149:BI150"/>
    <mergeCell ref="F151:F152"/>
    <mergeCell ref="J151:J152"/>
    <mergeCell ref="M151:M152"/>
    <mergeCell ref="P151:P152"/>
    <mergeCell ref="S151:S152"/>
    <mergeCell ref="V151:V152"/>
    <mergeCell ref="Y151:Y152"/>
    <mergeCell ref="AA151:AA152"/>
    <mergeCell ref="AC151:AC152"/>
  </mergeCells>
  <phoneticPr fontId="2"/>
  <pageMargins left="0.25" right="0.25" top="0.75" bottom="0.75" header="0.3" footer="0.3"/>
  <pageSetup paperSize="9" scale="20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OK and 0.01% atropine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Nozomi Kinoshita</dc:creator>
  <cp:lastModifiedBy>木下　望</cp:lastModifiedBy>
  <cp:lastPrinted>2016-11-26T00:30:37Z</cp:lastPrinted>
  <dcterms:created xsi:type="dcterms:W3CDTF">2015-12-07T09:37:43Z</dcterms:created>
  <dcterms:modified xsi:type="dcterms:W3CDTF">2019-12-14T04:57:56Z</dcterms:modified>
</cp:coreProperties>
</file>